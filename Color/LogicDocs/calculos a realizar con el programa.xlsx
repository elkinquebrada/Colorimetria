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oatsplc-my.sharepoint.com/personal/elkinduvan_quebradaguapacha_coats_com/Documents/Escritorio/Colorimetria/Color/LogicDocs/"/>
    </mc:Choice>
  </mc:AlternateContent>
  <xr:revisionPtr revIDLastSave="772" documentId="8_{9F78D261-5971-4E36-A791-098E2ABB119D}" xr6:coauthVersionLast="47" xr6:coauthVersionMax="47" xr10:uidLastSave="{15CC8FCE-273B-4F3E-BDE9-D80C9F34D05A}"/>
  <bookViews>
    <workbookView xWindow="-120" yWindow="-120" windowWidth="21840" windowHeight="13020" activeTab="2" xr2:uid="{74F1A0B1-3ED8-4C59-B930-9B261CE40F5C}"/>
  </bookViews>
  <sheets>
    <sheet name="CALCULO SAMPLE COMPARISON " sheetId="3" r:id="rId1"/>
    <sheet name="CALCULO SHADE HISTORY REPORT" sheetId="1" r:id="rId2"/>
    <sheet name="TOLERANCI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3" i="2"/>
  <c r="F43" i="1" l="1"/>
  <c r="L42" i="1"/>
  <c r="J42" i="1"/>
  <c r="L40" i="1"/>
  <c r="J40" i="1"/>
  <c r="H40" i="1"/>
  <c r="G40" i="1"/>
  <c r="F34" i="1"/>
  <c r="G33" i="1" s="1"/>
  <c r="H31" i="1"/>
  <c r="G31" i="1"/>
  <c r="F26" i="1"/>
  <c r="J43" i="1" s="1"/>
  <c r="H23" i="1"/>
  <c r="J23" i="1" s="1"/>
  <c r="G23" i="1"/>
  <c r="F18" i="1"/>
  <c r="G42" i="1" s="1"/>
  <c r="G17" i="1"/>
  <c r="K9" i="1"/>
  <c r="J9" i="1"/>
  <c r="H33" i="1" s="1"/>
  <c r="K7" i="1"/>
  <c r="J7" i="1"/>
  <c r="H25" i="1" s="1"/>
  <c r="K5" i="1"/>
  <c r="J5" i="1"/>
  <c r="H42" i="1" s="1"/>
  <c r="L3" i="2"/>
  <c r="H4" i="3"/>
  <c r="L18" i="3"/>
  <c r="O18" i="3" s="1"/>
  <c r="K18" i="3"/>
  <c r="N18" i="3" s="1"/>
  <c r="I18" i="3"/>
  <c r="H18" i="3"/>
  <c r="G18" i="3"/>
  <c r="J18" i="3" s="1"/>
  <c r="M18" i="3" s="1"/>
  <c r="I16" i="3"/>
  <c r="L16" i="3" s="1"/>
  <c r="O16" i="3" s="1"/>
  <c r="H16" i="3"/>
  <c r="K16" i="3" s="1"/>
  <c r="N16" i="3" s="1"/>
  <c r="G16" i="3"/>
  <c r="J16" i="3" s="1"/>
  <c r="M16" i="3" s="1"/>
  <c r="I14" i="3"/>
  <c r="L14" i="3" s="1"/>
  <c r="O14" i="3" s="1"/>
  <c r="H14" i="3"/>
  <c r="K14" i="3" s="1"/>
  <c r="G14" i="3"/>
  <c r="J14" i="3" s="1"/>
  <c r="D5" i="3"/>
  <c r="E5" i="3" s="1"/>
  <c r="H5" i="3" s="1"/>
  <c r="D4" i="3"/>
  <c r="E4" i="3" s="1"/>
  <c r="D3" i="3"/>
  <c r="E3" i="3" s="1"/>
  <c r="H3" i="3" s="1"/>
  <c r="G26" i="1" l="1"/>
  <c r="K40" i="1"/>
  <c r="L43" i="1"/>
  <c r="J25" i="1"/>
  <c r="I25" i="1"/>
  <c r="K42" i="1"/>
  <c r="J33" i="1"/>
  <c r="J31" i="1"/>
  <c r="G24" i="1"/>
  <c r="H26" i="1"/>
  <c r="G32" i="1"/>
  <c r="G34" i="1" s="1"/>
  <c r="G41" i="1"/>
  <c r="G43" i="1" s="1"/>
  <c r="H41" i="1"/>
  <c r="L41" i="1"/>
  <c r="I23" i="1"/>
  <c r="H24" i="1"/>
  <c r="H32" i="1"/>
  <c r="H34" i="1" s="1"/>
  <c r="G15" i="1"/>
  <c r="H15" i="1"/>
  <c r="G16" i="1"/>
  <c r="G25" i="1"/>
  <c r="H17" i="1"/>
  <c r="J41" i="1"/>
  <c r="K41" i="1" s="1"/>
  <c r="H16" i="1"/>
  <c r="N14" i="3"/>
  <c r="M14" i="3"/>
  <c r="L44" i="1" l="1"/>
  <c r="H35" i="1"/>
  <c r="M40" i="1"/>
  <c r="I31" i="1"/>
  <c r="M42" i="1"/>
  <c r="I33" i="1"/>
  <c r="J24" i="1"/>
  <c r="I24" i="1"/>
  <c r="I26" i="1"/>
  <c r="K43" i="1"/>
  <c r="J16" i="1"/>
  <c r="L32" i="1"/>
  <c r="L24" i="1"/>
  <c r="I16" i="1"/>
  <c r="J44" i="1"/>
  <c r="H27" i="1"/>
  <c r="J17" i="1"/>
  <c r="L33" i="1"/>
  <c r="L25" i="1"/>
  <c r="J15" i="1"/>
  <c r="H18" i="1"/>
  <c r="L31" i="1"/>
  <c r="L23" i="1"/>
  <c r="G18" i="1"/>
  <c r="M41" i="1"/>
  <c r="J32" i="1"/>
  <c r="I32" i="1"/>
  <c r="I41" i="1"/>
  <c r="H43" i="1"/>
  <c r="H44" i="1" s="1"/>
  <c r="F4" i="2"/>
  <c r="F5" i="2"/>
  <c r="L4" i="2"/>
  <c r="L5" i="2"/>
  <c r="I4" i="2"/>
  <c r="I5" i="2"/>
  <c r="I3" i="2"/>
  <c r="F3" i="2"/>
  <c r="L26" i="1" l="1"/>
  <c r="L34" i="1"/>
  <c r="H19" i="1"/>
  <c r="I40" i="1"/>
  <c r="I42" i="1"/>
  <c r="I15" i="1"/>
  <c r="I18" i="1" s="1"/>
  <c r="J18" i="1"/>
  <c r="J19" i="1" s="1"/>
  <c r="M25" i="1"/>
  <c r="I34" i="1"/>
  <c r="M33" i="1"/>
  <c r="K17" i="1"/>
  <c r="J26" i="1"/>
  <c r="I17" i="1"/>
  <c r="M43" i="1"/>
  <c r="J34" i="1"/>
  <c r="M32" i="1" s="1"/>
  <c r="K15" i="1" l="1"/>
  <c r="J27" i="1"/>
  <c r="K23" i="1"/>
  <c r="K25" i="1"/>
  <c r="K16" i="1"/>
  <c r="I43" i="1"/>
  <c r="J35" i="1"/>
  <c r="K34" i="1"/>
  <c r="K31" i="1"/>
  <c r="K33" i="1"/>
  <c r="M31" i="1"/>
  <c r="L35" i="1"/>
  <c r="M34" i="1"/>
  <c r="K24" i="1"/>
  <c r="M23" i="1"/>
  <c r="M26" i="1" s="1"/>
  <c r="K32" i="1"/>
  <c r="M24" i="1"/>
  <c r="K26" i="1" l="1"/>
  <c r="L27" i="1" s="1"/>
  <c r="K18" i="1"/>
</calcChain>
</file>

<file path=xl/sharedStrings.xml><?xml version="1.0" encoding="utf-8"?>
<sst xmlns="http://schemas.openxmlformats.org/spreadsheetml/2006/main" count="118" uniqueCount="59">
  <si>
    <t>CMC(2.1)</t>
  </si>
  <si>
    <t>Lightness</t>
  </si>
  <si>
    <t>Chroma</t>
  </si>
  <si>
    <t>Hue</t>
  </si>
  <si>
    <t>conversion Lightness</t>
  </si>
  <si>
    <t>conversion Chroma</t>
  </si>
  <si>
    <t>D65</t>
  </si>
  <si>
    <t>TL84</t>
  </si>
  <si>
    <t>A o CWF</t>
  </si>
  <si>
    <t>calculo 1</t>
  </si>
  <si>
    <t>calculo 2</t>
  </si>
  <si>
    <t>calculo 3</t>
  </si>
  <si>
    <t>Foron Golden YELLOW</t>
  </si>
  <si>
    <t>Foron Navy</t>
  </si>
  <si>
    <t>Foron RED</t>
  </si>
  <si>
    <t>[ Total ]</t>
  </si>
  <si>
    <t>Variación en la [ ]</t>
  </si>
  <si>
    <t>Chroma (D65)</t>
  </si>
  <si>
    <t>Chroma (TL84)</t>
  </si>
  <si>
    <t>Chroma (A)</t>
  </si>
  <si>
    <t>CALCULOS REALIZADOS</t>
  </si>
  <si>
    <t xml:space="preserve">DE </t>
  </si>
  <si>
    <t>DE</t>
  </si>
  <si>
    <t xml:space="preserve">DL </t>
  </si>
  <si>
    <t>DC</t>
  </si>
  <si>
    <t xml:space="preserve">DH </t>
  </si>
  <si>
    <t>std</t>
  </si>
  <si>
    <t>lot</t>
  </si>
  <si>
    <t>Valor Abs</t>
  </si>
  <si>
    <t>Porcentaje a corregir</t>
  </si>
  <si>
    <t>dL</t>
  </si>
  <si>
    <t>Oscuro</t>
  </si>
  <si>
    <t>da</t>
  </si>
  <si>
    <t xml:space="preserve">Rojo (disminui) o Verde (aumentar) </t>
  </si>
  <si>
    <t>db</t>
  </si>
  <si>
    <t>Azul (disminuir) o Amarillo (aumentar)</t>
  </si>
  <si>
    <t>L</t>
  </si>
  <si>
    <t>A</t>
  </si>
  <si>
    <t>B</t>
  </si>
  <si>
    <t>lot-std</t>
  </si>
  <si>
    <t>Res L</t>
  </si>
  <si>
    <t>Res A</t>
  </si>
  <si>
    <t>Res B</t>
  </si>
  <si>
    <t>Valor Abs L</t>
  </si>
  <si>
    <t>Valor Abs A</t>
  </si>
  <si>
    <t>Valor Abs B</t>
  </si>
  <si>
    <t>% a corregir L</t>
  </si>
  <si>
    <t>% corregir A</t>
  </si>
  <si>
    <t>% a corregir B</t>
  </si>
  <si>
    <t>Lightness (D65)</t>
  </si>
  <si>
    <t>Lightness (TL84)</t>
  </si>
  <si>
    <t>Lightness (A o CWF)</t>
  </si>
  <si>
    <t>SHADE HISTORY REPORT</t>
  </si>
  <si>
    <t xml:space="preserve"> ILUMINANTE (D65)</t>
  </si>
  <si>
    <t>SAMPLE COMPARISON</t>
  </si>
  <si>
    <t xml:space="preserve">Porcentaje de Tintes </t>
  </si>
  <si>
    <t>ILUMINANTE  (TL84)</t>
  </si>
  <si>
    <t xml:space="preserve">  ILUMINANTE (A o CWF)</t>
  </si>
  <si>
    <t xml:space="preserve"> ILUMINANTE  (D65)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</si>
</sst>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rgb="FF00B0F0"/>
      <name val="Aptos Narrow"/>
      <family val="2"/>
      <scheme val="minor"/>
    </font>
    <font>
      <sz val="11"/>
      <color theme="1"/>
      <name val="Segoe UI"/>
      <family val="2"/>
    </font>
    <font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8" fillId="0" borderId="1" xfId="0" applyFont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2" fontId="3" fillId="0" borderId="1" xfId="0" applyNumberFormat="1" applyFont="1" applyBorder="1"/>
    <xf numFmtId="165" fontId="0" fillId="0" borderId="1" xfId="0" applyNumberFormat="1" applyBorder="1"/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DF79-A7C0-4C59-8A5D-80E5B6D3C3CA}">
  <dimension ref="A1:O19"/>
  <sheetViews>
    <sheetView workbookViewId="0">
      <selection activeCell="I26" sqref="I26"/>
    </sheetView>
  </sheetViews>
  <sheetFormatPr defaultRowHeight="15" x14ac:dyDescent="0.25"/>
  <cols>
    <col min="6" max="6" width="20.42578125" customWidth="1"/>
    <col min="9" max="9" width="33" customWidth="1"/>
    <col min="10" max="10" width="11.5703125" customWidth="1"/>
    <col min="11" max="11" width="10.5703125" customWidth="1"/>
    <col min="12" max="12" width="11.140625" customWidth="1"/>
    <col min="13" max="13" width="15.5703125" customWidth="1"/>
    <col min="14" max="14" width="16" customWidth="1"/>
    <col min="15" max="15" width="16.710937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</row>
    <row r="2" spans="1:15" x14ac:dyDescent="0.25">
      <c r="A2" s="2"/>
      <c r="B2" s="2" t="s">
        <v>26</v>
      </c>
      <c r="C2" s="2" t="s">
        <v>27</v>
      </c>
      <c r="D2" s="2"/>
      <c r="E2" s="2" t="s">
        <v>28</v>
      </c>
      <c r="F2" s="1"/>
      <c r="G2" s="1"/>
      <c r="H2" s="21" t="s">
        <v>29</v>
      </c>
      <c r="I2" s="21"/>
    </row>
    <row r="3" spans="1:15" x14ac:dyDescent="0.25">
      <c r="A3" s="2" t="s">
        <v>30</v>
      </c>
      <c r="B3" s="2">
        <v>82.83</v>
      </c>
      <c r="C3" s="2">
        <v>80.680000000000007</v>
      </c>
      <c r="D3" s="11">
        <f>+C3-B3</f>
        <v>-2.1499999999999915</v>
      </c>
      <c r="E3" s="11">
        <f>+ABS(D3)</f>
        <v>2.1499999999999915</v>
      </c>
      <c r="F3" s="1"/>
      <c r="G3" s="1"/>
      <c r="H3" s="12">
        <f>+E3/B3</f>
        <v>2.5956778944826651E-2</v>
      </c>
      <c r="I3" s="2" t="s">
        <v>31</v>
      </c>
    </row>
    <row r="4" spans="1:15" x14ac:dyDescent="0.25">
      <c r="A4" s="2" t="s">
        <v>32</v>
      </c>
      <c r="B4" s="2">
        <v>-14.24</v>
      </c>
      <c r="C4" s="2">
        <v>-13.01</v>
      </c>
      <c r="D4" s="11">
        <f t="shared" ref="D4:D5" si="0">+C4-B4</f>
        <v>1.2300000000000004</v>
      </c>
      <c r="E4" s="11">
        <f>+ABS(D4)</f>
        <v>1.2300000000000004</v>
      </c>
      <c r="F4" s="1"/>
      <c r="G4" s="1"/>
      <c r="H4" s="12">
        <f>+E4/B4</f>
        <v>-8.6376404494382053E-2</v>
      </c>
      <c r="I4" s="2" t="s">
        <v>33</v>
      </c>
    </row>
    <row r="5" spans="1:15" x14ac:dyDescent="0.25">
      <c r="A5" s="2" t="s">
        <v>34</v>
      </c>
      <c r="B5" s="2">
        <v>3.6</v>
      </c>
      <c r="C5" s="2">
        <v>-3.47</v>
      </c>
      <c r="D5" s="11">
        <f t="shared" si="0"/>
        <v>-7.07</v>
      </c>
      <c r="E5" s="11">
        <f>+ABS(D5)</f>
        <v>7.07</v>
      </c>
      <c r="F5" s="1"/>
      <c r="G5" s="1"/>
      <c r="H5" s="12">
        <f t="shared" ref="H5" si="1">+E5/B5</f>
        <v>1.963888888888889</v>
      </c>
      <c r="I5" s="2" t="s">
        <v>35</v>
      </c>
    </row>
    <row r="8" spans="1:15" x14ac:dyDescent="0.25">
      <c r="B8" s="13"/>
      <c r="C8" s="13" t="s">
        <v>36</v>
      </c>
      <c r="D8" s="13" t="s">
        <v>37</v>
      </c>
      <c r="E8" s="13" t="s">
        <v>38</v>
      </c>
    </row>
    <row r="9" spans="1:15" x14ac:dyDescent="0.25">
      <c r="B9" s="13" t="s">
        <v>6</v>
      </c>
      <c r="C9" s="13" t="s">
        <v>39</v>
      </c>
      <c r="D9" s="13" t="s">
        <v>39</v>
      </c>
      <c r="E9" s="13" t="s">
        <v>39</v>
      </c>
    </row>
    <row r="10" spans="1:15" x14ac:dyDescent="0.25">
      <c r="B10" s="13" t="s">
        <v>7</v>
      </c>
      <c r="C10" s="13" t="s">
        <v>39</v>
      </c>
      <c r="D10" s="13" t="s">
        <v>39</v>
      </c>
      <c r="E10" s="13" t="s">
        <v>39</v>
      </c>
    </row>
    <row r="11" spans="1:15" x14ac:dyDescent="0.25">
      <c r="B11" s="13" t="s">
        <v>37</v>
      </c>
      <c r="C11" s="13" t="s">
        <v>39</v>
      </c>
      <c r="D11" s="13" t="s">
        <v>39</v>
      </c>
      <c r="E11" s="13" t="s">
        <v>39</v>
      </c>
    </row>
    <row r="13" spans="1:15" x14ac:dyDescent="0.25">
      <c r="B13" s="13"/>
      <c r="C13" s="13"/>
      <c r="D13" s="13" t="s">
        <v>36</v>
      </c>
      <c r="E13" s="13" t="s">
        <v>37</v>
      </c>
      <c r="F13" s="13" t="s">
        <v>38</v>
      </c>
      <c r="G13" s="13" t="s">
        <v>40</v>
      </c>
      <c r="H13" s="13" t="s">
        <v>41</v>
      </c>
      <c r="I13" s="13" t="s">
        <v>42</v>
      </c>
      <c r="J13" s="13" t="s">
        <v>43</v>
      </c>
      <c r="K13" s="13" t="s">
        <v>44</v>
      </c>
      <c r="L13" s="13" t="s">
        <v>45</v>
      </c>
      <c r="M13" s="13" t="s">
        <v>46</v>
      </c>
      <c r="N13" s="13" t="s">
        <v>47</v>
      </c>
      <c r="O13" s="13" t="s">
        <v>48</v>
      </c>
    </row>
    <row r="14" spans="1:15" x14ac:dyDescent="0.25">
      <c r="B14" s="19" t="s">
        <v>6</v>
      </c>
      <c r="C14" s="13" t="s">
        <v>26</v>
      </c>
      <c r="D14" s="13">
        <v>82.83</v>
      </c>
      <c r="E14" s="13">
        <v>-14.24</v>
      </c>
      <c r="F14" s="13">
        <v>-3.6</v>
      </c>
      <c r="G14" s="19">
        <f>+D15-D14</f>
        <v>-2.1499999999999915</v>
      </c>
      <c r="H14" s="19">
        <f>+E15-E14</f>
        <v>1.2300000000000004</v>
      </c>
      <c r="I14" s="19">
        <f>+F15-F14</f>
        <v>0.12999999999999989</v>
      </c>
      <c r="J14" s="19">
        <f>+ABS(G14)</f>
        <v>2.1499999999999915</v>
      </c>
      <c r="K14" s="19">
        <f>+ABS(H14)</f>
        <v>1.2300000000000004</v>
      </c>
      <c r="L14" s="19">
        <f>+ABS(I14)</f>
        <v>0.12999999999999989</v>
      </c>
      <c r="M14" s="20">
        <f>+K14/F14</f>
        <v>-0.34166666666666679</v>
      </c>
      <c r="N14" s="20">
        <f>+K14/E14</f>
        <v>-8.6376404494382053E-2</v>
      </c>
      <c r="O14" s="20">
        <f>+L14/F14</f>
        <v>-3.611111111111108E-2</v>
      </c>
    </row>
    <row r="15" spans="1:15" x14ac:dyDescent="0.25">
      <c r="B15" s="19"/>
      <c r="C15" s="13" t="s">
        <v>27</v>
      </c>
      <c r="D15" s="13">
        <v>80.680000000000007</v>
      </c>
      <c r="E15" s="13">
        <v>-13.01</v>
      </c>
      <c r="F15" s="13">
        <v>-3.47</v>
      </c>
      <c r="G15" s="19"/>
      <c r="H15" s="19"/>
      <c r="I15" s="19"/>
      <c r="J15" s="19"/>
      <c r="K15" s="19"/>
      <c r="L15" s="19"/>
      <c r="M15" s="20"/>
      <c r="N15" s="20"/>
      <c r="O15" s="20"/>
    </row>
    <row r="16" spans="1:15" x14ac:dyDescent="0.25">
      <c r="B16" s="19" t="s">
        <v>7</v>
      </c>
      <c r="C16" s="13" t="s">
        <v>26</v>
      </c>
      <c r="D16" s="13">
        <v>81.81</v>
      </c>
      <c r="E16" s="13">
        <v>-12.77</v>
      </c>
      <c r="F16" s="13">
        <v>5.0599999999999996</v>
      </c>
      <c r="G16" s="19">
        <f>+D17-D16</f>
        <v>-2.0300000000000011</v>
      </c>
      <c r="H16" s="19">
        <f t="shared" ref="H16:I16" si="2">+E17-E16</f>
        <v>0.73000000000000043</v>
      </c>
      <c r="I16" s="19">
        <f t="shared" si="2"/>
        <v>-9.39</v>
      </c>
      <c r="J16" s="19">
        <f t="shared" ref="J16:L16" si="3">+ABS(G16)</f>
        <v>2.0300000000000011</v>
      </c>
      <c r="K16" s="19">
        <f t="shared" si="3"/>
        <v>0.73000000000000043</v>
      </c>
      <c r="L16" s="19">
        <f t="shared" si="3"/>
        <v>9.39</v>
      </c>
      <c r="M16" s="20">
        <f>+J16/D16</f>
        <v>2.4813592470358161E-2</v>
      </c>
      <c r="N16" s="20">
        <f>+K16/E16</f>
        <v>-5.7165231010180145E-2</v>
      </c>
      <c r="O16" s="20">
        <f t="shared" ref="O16" si="4">+L16/F16</f>
        <v>1.8557312252964429</v>
      </c>
    </row>
    <row r="17" spans="2:15" x14ac:dyDescent="0.25">
      <c r="B17" s="19"/>
      <c r="C17" s="13" t="s">
        <v>27</v>
      </c>
      <c r="D17" s="13">
        <v>79.78</v>
      </c>
      <c r="E17" s="13">
        <v>-12.04</v>
      </c>
      <c r="F17" s="13">
        <v>-4.33</v>
      </c>
      <c r="G17" s="19"/>
      <c r="H17" s="19"/>
      <c r="I17" s="19"/>
      <c r="J17" s="19"/>
      <c r="K17" s="19"/>
      <c r="L17" s="19"/>
      <c r="M17" s="20"/>
      <c r="N17" s="20"/>
      <c r="O17" s="20"/>
    </row>
    <row r="18" spans="2:15" x14ac:dyDescent="0.25">
      <c r="B18" s="19" t="s">
        <v>37</v>
      </c>
      <c r="C18" s="13" t="s">
        <v>26</v>
      </c>
      <c r="D18" s="13">
        <v>80.94</v>
      </c>
      <c r="E18" s="13">
        <v>-15.03</v>
      </c>
      <c r="F18" s="13">
        <v>7.39</v>
      </c>
      <c r="G18" s="19">
        <f>+D19-D18</f>
        <v>-4</v>
      </c>
      <c r="H18" s="19">
        <f t="shared" ref="H18:I18" si="5">+E19-E18</f>
        <v>0.86999999999999922</v>
      </c>
      <c r="I18" s="19">
        <f t="shared" si="5"/>
        <v>-0.58999999999999986</v>
      </c>
      <c r="J18" s="19">
        <f t="shared" ref="J18:L18" si="6">+ABS(G18)</f>
        <v>4</v>
      </c>
      <c r="K18" s="19">
        <f t="shared" si="6"/>
        <v>0.86999999999999922</v>
      </c>
      <c r="L18" s="19">
        <f t="shared" si="6"/>
        <v>0.58999999999999986</v>
      </c>
      <c r="M18" s="20">
        <f>+J18/D18</f>
        <v>4.9419322955275513E-2</v>
      </c>
      <c r="N18" s="20">
        <f>+K18/E18</f>
        <v>-5.7884231536926095E-2</v>
      </c>
      <c r="O18" s="20">
        <f t="shared" ref="O18" si="7">+L18/F18</f>
        <v>7.9837618403247615E-2</v>
      </c>
    </row>
    <row r="19" spans="2:15" x14ac:dyDescent="0.25">
      <c r="B19" s="19"/>
      <c r="C19" s="13" t="s">
        <v>27</v>
      </c>
      <c r="D19" s="13">
        <v>76.94</v>
      </c>
      <c r="E19" s="13">
        <v>-14.16</v>
      </c>
      <c r="F19" s="13">
        <v>6.8</v>
      </c>
      <c r="G19" s="19"/>
      <c r="H19" s="19"/>
      <c r="I19" s="19"/>
      <c r="J19" s="19"/>
      <c r="K19" s="19"/>
      <c r="L19" s="19"/>
      <c r="M19" s="20"/>
      <c r="N19" s="20"/>
      <c r="O19" s="20"/>
    </row>
  </sheetData>
  <mergeCells count="31">
    <mergeCell ref="B14:B15"/>
    <mergeCell ref="G14:G15"/>
    <mergeCell ref="H14:H15"/>
    <mergeCell ref="I14:I15"/>
    <mergeCell ref="J14:J15"/>
    <mergeCell ref="B16:B17"/>
    <mergeCell ref="G16:G17"/>
    <mergeCell ref="H16:H17"/>
    <mergeCell ref="I16:I17"/>
    <mergeCell ref="J16:J17"/>
    <mergeCell ref="B18:B19"/>
    <mergeCell ref="G18:G19"/>
    <mergeCell ref="H18:H19"/>
    <mergeCell ref="I18:I19"/>
    <mergeCell ref="J18:J19"/>
    <mergeCell ref="L18:L19"/>
    <mergeCell ref="M18:M19"/>
    <mergeCell ref="N18:N19"/>
    <mergeCell ref="O18:O19"/>
    <mergeCell ref="H2:I2"/>
    <mergeCell ref="L16:L17"/>
    <mergeCell ref="M16:M17"/>
    <mergeCell ref="N16:N17"/>
    <mergeCell ref="O16:O17"/>
    <mergeCell ref="K18:K19"/>
    <mergeCell ref="L14:L15"/>
    <mergeCell ref="M14:M15"/>
    <mergeCell ref="N14:N15"/>
    <mergeCell ref="O14:O15"/>
    <mergeCell ref="K16:K17"/>
    <mergeCell ref="K14: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7DF8-3200-46CC-8D04-8DEE3E3EFF1F}">
  <dimension ref="D2:N44"/>
  <sheetViews>
    <sheetView showGridLines="0" topLeftCell="A15" zoomScaleNormal="100" workbookViewId="0">
      <selection activeCell="J40" sqref="J40"/>
    </sheetView>
  </sheetViews>
  <sheetFormatPr defaultRowHeight="15" x14ac:dyDescent="0.25"/>
  <cols>
    <col min="1" max="4" width="9.140625" style="1"/>
    <col min="5" max="5" width="21.140625" style="1" customWidth="1"/>
    <col min="6" max="6" width="14.42578125" style="1" customWidth="1"/>
    <col min="7" max="7" width="21.28515625" style="1" customWidth="1"/>
    <col min="8" max="8" width="13" style="1" customWidth="1"/>
    <col min="9" max="9" width="9.140625" style="1"/>
    <col min="10" max="10" width="19.140625" style="1" customWidth="1"/>
    <col min="11" max="11" width="18.28515625" style="1" customWidth="1"/>
    <col min="12" max="12" width="10.5703125" style="1" bestFit="1" customWidth="1"/>
    <col min="13" max="13" width="9.140625" style="1"/>
    <col min="14" max="14" width="17.28515625" style="1" customWidth="1"/>
    <col min="15" max="16384" width="9.140625" style="1"/>
  </cols>
  <sheetData>
    <row r="2" spans="4:14" x14ac:dyDescent="0.25">
      <c r="E2" s="21" t="s">
        <v>54</v>
      </c>
      <c r="F2" s="21"/>
      <c r="G2" s="21"/>
      <c r="H2" s="21"/>
      <c r="I2" s="21"/>
    </row>
    <row r="3" spans="4:14" x14ac:dyDescent="0.25">
      <c r="E3" s="2"/>
      <c r="F3" s="2" t="s">
        <v>0</v>
      </c>
      <c r="G3" s="2"/>
      <c r="H3" s="2"/>
      <c r="I3" s="2"/>
    </row>
    <row r="4" spans="4:14" x14ac:dyDescent="0.25">
      <c r="E4" s="2"/>
      <c r="F4" s="2" t="s">
        <v>1</v>
      </c>
      <c r="G4" s="2" t="s">
        <v>2</v>
      </c>
      <c r="H4" s="2" t="s">
        <v>3</v>
      </c>
      <c r="I4" s="2" t="s">
        <v>0</v>
      </c>
      <c r="J4" s="2" t="s">
        <v>4</v>
      </c>
      <c r="K4" s="2" t="s">
        <v>5</v>
      </c>
    </row>
    <row r="5" spans="4:14" ht="20.25" customHeight="1" x14ac:dyDescent="0.25">
      <c r="E5" s="25" t="s">
        <v>6</v>
      </c>
      <c r="F5" s="29">
        <v>-0.78</v>
      </c>
      <c r="G5" s="29">
        <v>-0.86</v>
      </c>
      <c r="H5" s="30">
        <v>0.17</v>
      </c>
      <c r="I5" s="28">
        <v>1.17</v>
      </c>
      <c r="J5" s="25">
        <f>+ABS(F5*10)</f>
        <v>7.8000000000000007</v>
      </c>
      <c r="K5" s="25">
        <f>+ABS(G5*10)</f>
        <v>8.6</v>
      </c>
    </row>
    <row r="6" spans="4:14" ht="20.25" customHeight="1" x14ac:dyDescent="0.25">
      <c r="E6" s="25"/>
      <c r="F6" s="29"/>
      <c r="G6" s="29"/>
      <c r="H6" s="30"/>
      <c r="I6" s="28"/>
      <c r="J6" s="25"/>
      <c r="K6" s="25"/>
    </row>
    <row r="7" spans="4:14" x14ac:dyDescent="0.25">
      <c r="E7" s="21" t="s">
        <v>7</v>
      </c>
      <c r="F7" s="26">
        <v>-0.74</v>
      </c>
      <c r="G7" s="27">
        <v>-0.54</v>
      </c>
      <c r="H7" s="27">
        <v>0.1</v>
      </c>
      <c r="I7" s="21">
        <v>0.92</v>
      </c>
      <c r="J7" s="21">
        <f t="shared" ref="J7:K7" si="0">+ABS(F7*10)</f>
        <v>7.4</v>
      </c>
      <c r="K7" s="21">
        <f t="shared" si="0"/>
        <v>5.4</v>
      </c>
    </row>
    <row r="8" spans="4:14" x14ac:dyDescent="0.25">
      <c r="E8" s="21"/>
      <c r="F8" s="26"/>
      <c r="G8" s="27"/>
      <c r="H8" s="27"/>
      <c r="I8" s="21"/>
      <c r="J8" s="21"/>
      <c r="K8" s="21"/>
    </row>
    <row r="9" spans="4:14" x14ac:dyDescent="0.25">
      <c r="E9" s="21" t="s">
        <v>8</v>
      </c>
      <c r="F9" s="26">
        <v>-0.73</v>
      </c>
      <c r="G9" s="27">
        <v>-0.68</v>
      </c>
      <c r="H9" s="27">
        <v>-0.12</v>
      </c>
      <c r="I9" s="21">
        <v>1.01</v>
      </c>
      <c r="J9" s="21">
        <f t="shared" ref="J9:K9" si="1">+ABS(F9*10)</f>
        <v>7.3</v>
      </c>
      <c r="K9" s="21">
        <f t="shared" si="1"/>
        <v>6.8000000000000007</v>
      </c>
    </row>
    <row r="10" spans="4:14" x14ac:dyDescent="0.25">
      <c r="E10" s="21"/>
      <c r="F10" s="26"/>
      <c r="G10" s="27"/>
      <c r="H10" s="27"/>
      <c r="I10" s="21"/>
      <c r="J10" s="21"/>
      <c r="K10" s="21"/>
    </row>
    <row r="11" spans="4:14" x14ac:dyDescent="0.25">
      <c r="F11" s="17"/>
      <c r="G11" s="18"/>
      <c r="H11" s="18"/>
    </row>
    <row r="12" spans="4:14" x14ac:dyDescent="0.25">
      <c r="E12" s="21" t="s">
        <v>52</v>
      </c>
      <c r="F12" s="21"/>
      <c r="G12" s="21"/>
      <c r="H12" s="21"/>
      <c r="I12" s="21"/>
      <c r="J12" s="21"/>
      <c r="K12" s="21"/>
    </row>
    <row r="13" spans="4:14" x14ac:dyDescent="0.25">
      <c r="E13" s="22" t="s">
        <v>53</v>
      </c>
      <c r="F13" s="24"/>
      <c r="G13" s="24"/>
      <c r="H13" s="24"/>
      <c r="I13" s="23"/>
      <c r="J13" s="21" t="s">
        <v>20</v>
      </c>
      <c r="K13" s="21"/>
      <c r="L13" s="32"/>
      <c r="M13" s="32"/>
      <c r="N13" s="32"/>
    </row>
    <row r="14" spans="4:14" x14ac:dyDescent="0.25">
      <c r="E14" s="2"/>
      <c r="F14" s="22" t="s">
        <v>55</v>
      </c>
      <c r="G14" s="23"/>
      <c r="H14" s="21" t="s">
        <v>49</v>
      </c>
      <c r="I14" s="21"/>
      <c r="J14" s="21" t="s">
        <v>17</v>
      </c>
      <c r="K14" s="21"/>
    </row>
    <row r="15" spans="4:14" x14ac:dyDescent="0.25">
      <c r="D15" s="31"/>
      <c r="E15" s="2" t="s">
        <v>12</v>
      </c>
      <c r="F15" s="6">
        <v>1.1782600000000001</v>
      </c>
      <c r="G15" s="4">
        <f>+$F$15/$F$18</f>
        <v>0.60805259681281476</v>
      </c>
      <c r="H15" s="6">
        <f>+F15*(1-$J$5/100)</f>
        <v>1.08635572</v>
      </c>
      <c r="I15" s="4">
        <f>H15/$H$18</f>
        <v>0.60805259681281476</v>
      </c>
      <c r="J15" s="6">
        <f>+$H$15*(1-$K$5/100)</f>
        <v>0.99292912808000011</v>
      </c>
      <c r="K15" s="4">
        <f>+$J$15/$J$18</f>
        <v>0.60805259681281487</v>
      </c>
    </row>
    <row r="16" spans="4:14" x14ac:dyDescent="0.25">
      <c r="D16" s="31"/>
      <c r="E16" s="2" t="s">
        <v>13</v>
      </c>
      <c r="F16" s="6">
        <v>0.38450000000000001</v>
      </c>
      <c r="G16" s="4">
        <f>+$F$16/$F$18</f>
        <v>0.19842498555032614</v>
      </c>
      <c r="H16" s="6">
        <f>+$F$16*(1-$J$5/100)</f>
        <v>0.35450899999999996</v>
      </c>
      <c r="I16" s="4">
        <f t="shared" ref="I16:I17" si="2">H16/$H$18</f>
        <v>0.19842498555032614</v>
      </c>
      <c r="J16" s="6">
        <f>+$H$16*(1-$K$5/100)</f>
        <v>0.324021226</v>
      </c>
      <c r="K16" s="4">
        <f>+$J$16/$J$18</f>
        <v>0.19842498555032614</v>
      </c>
    </row>
    <row r="17" spans="4:13" x14ac:dyDescent="0.25">
      <c r="D17" s="31"/>
      <c r="E17" s="2" t="s">
        <v>14</v>
      </c>
      <c r="F17" s="6">
        <v>0.375</v>
      </c>
      <c r="G17" s="4">
        <f t="shared" ref="G17" si="3">+F17/$F$18</f>
        <v>0.19352241763685904</v>
      </c>
      <c r="H17" s="6">
        <f>+$F$17*(1-$J$5/100)</f>
        <v>0.34575</v>
      </c>
      <c r="I17" s="4">
        <f t="shared" si="2"/>
        <v>0.19352241763685907</v>
      </c>
      <c r="J17" s="6">
        <f>+$H$17*(1-$K$5/100)</f>
        <v>0.3160155</v>
      </c>
      <c r="K17" s="4">
        <f>+$J$17/$J$18</f>
        <v>0.19352241763685904</v>
      </c>
    </row>
    <row r="18" spans="4:13" x14ac:dyDescent="0.25">
      <c r="D18" s="31"/>
      <c r="E18" s="2" t="s">
        <v>15</v>
      </c>
      <c r="F18" s="7">
        <f t="shared" ref="F18:I18" si="4">SUM(F15:F17)</f>
        <v>1.9377600000000001</v>
      </c>
      <c r="G18" s="5">
        <f t="shared" si="4"/>
        <v>1</v>
      </c>
      <c r="H18" s="7">
        <f>SUM($H$15:$H$17)</f>
        <v>1.78661472</v>
      </c>
      <c r="I18" s="5">
        <f t="shared" si="4"/>
        <v>1</v>
      </c>
      <c r="J18" s="7">
        <f>SUM($J$15:$J$17)</f>
        <v>1.6329658540800001</v>
      </c>
      <c r="K18" s="3">
        <f>SUM($K$15:$K$17)</f>
        <v>1</v>
      </c>
    </row>
    <row r="19" spans="4:13" x14ac:dyDescent="0.25">
      <c r="D19" s="31"/>
      <c r="E19" s="2" t="s">
        <v>16</v>
      </c>
      <c r="F19" s="2"/>
      <c r="G19" s="2"/>
      <c r="H19" s="8">
        <f>+H18/F18-1</f>
        <v>-7.8000000000000069E-2</v>
      </c>
      <c r="I19" s="2"/>
      <c r="J19" s="4">
        <f>+$J$18/$I$18-1</f>
        <v>0.63296585408000006</v>
      </c>
      <c r="K19" s="2"/>
    </row>
    <row r="21" spans="4:13" x14ac:dyDescent="0.25">
      <c r="E21" s="22" t="s">
        <v>56</v>
      </c>
      <c r="F21" s="24"/>
      <c r="G21" s="24"/>
      <c r="H21" s="24"/>
      <c r="I21" s="24"/>
      <c r="J21" s="24"/>
      <c r="K21" s="24"/>
      <c r="L21" s="23"/>
    </row>
    <row r="22" spans="4:13" x14ac:dyDescent="0.25">
      <c r="E22" s="2"/>
      <c r="F22" s="22" t="s">
        <v>9</v>
      </c>
      <c r="G22" s="23"/>
      <c r="H22" s="22" t="s">
        <v>10</v>
      </c>
      <c r="I22" s="23"/>
      <c r="J22" s="22" t="s">
        <v>11</v>
      </c>
      <c r="K22" s="23"/>
      <c r="L22" s="21" t="s">
        <v>18</v>
      </c>
      <c r="M22" s="21"/>
    </row>
    <row r="23" spans="4:13" x14ac:dyDescent="0.25">
      <c r="D23" s="31"/>
      <c r="E23" s="2" t="s">
        <v>12</v>
      </c>
      <c r="F23" s="6">
        <v>1.1782600000000001</v>
      </c>
      <c r="G23" s="4">
        <f>+F23/$F$26</f>
        <v>0.60805259681281476</v>
      </c>
      <c r="H23" s="6">
        <f>+$F$23*(1-$J$7/100)</f>
        <v>1.09106876</v>
      </c>
      <c r="I23" s="4">
        <f>H23/$H$26</f>
        <v>0.60805259681281476</v>
      </c>
      <c r="J23" s="6">
        <f>+$H$23*(1-$K$7/100)</f>
        <v>1.0321510469599999</v>
      </c>
      <c r="K23" s="4">
        <f>+$J$23/$J$26</f>
        <v>0.60805259681281476</v>
      </c>
      <c r="L23" s="6">
        <f>+$H$15*(1-$K$7/100)</f>
        <v>1.0276925111199999</v>
      </c>
      <c r="M23" s="4">
        <f>+L23/$J$26</f>
        <v>0.60542601972075083</v>
      </c>
    </row>
    <row r="24" spans="4:13" x14ac:dyDescent="0.25">
      <c r="D24" s="31"/>
      <c r="E24" s="2" t="s">
        <v>13</v>
      </c>
      <c r="F24" s="6">
        <v>0.38450000000000001</v>
      </c>
      <c r="G24" s="4">
        <f t="shared" ref="G24" si="5">+F24/$F$26</f>
        <v>0.19842498555032614</v>
      </c>
      <c r="H24" s="6">
        <f>+$F$24*(1-$J$7/100)</f>
        <v>0.356047</v>
      </c>
      <c r="I24" s="4">
        <f>H24/$H$26</f>
        <v>0.19842498555032614</v>
      </c>
      <c r="J24" s="6">
        <f>+$H$24*(1-$K$7/100)</f>
        <v>0.33682046199999999</v>
      </c>
      <c r="K24" s="4">
        <f>+$J$24/$J$26</f>
        <v>0.19842498555032614</v>
      </c>
      <c r="L24" s="6">
        <f>$H$16*(1-$K$7/100)</f>
        <v>0.33536551399999998</v>
      </c>
      <c r="M24" s="4">
        <f>+L24/$J$26</f>
        <v>0.19756785818293812</v>
      </c>
    </row>
    <row r="25" spans="4:13" x14ac:dyDescent="0.25">
      <c r="D25" s="31"/>
      <c r="E25" s="2" t="s">
        <v>14</v>
      </c>
      <c r="F25" s="6">
        <v>0.375</v>
      </c>
      <c r="G25" s="4">
        <f>+F25/$F$26</f>
        <v>0.19352241763685904</v>
      </c>
      <c r="H25" s="6">
        <f>+$F$25*(1-$J$7/100)</f>
        <v>0.34724999999999995</v>
      </c>
      <c r="I25" s="4">
        <f>H25/$H$26</f>
        <v>0.19352241763685901</v>
      </c>
      <c r="J25" s="6">
        <f>+$H$25*(1-$K$7/100)</f>
        <v>0.32849849999999992</v>
      </c>
      <c r="K25" s="4">
        <f>+$J$25/$J$26</f>
        <v>0.19352241763685901</v>
      </c>
      <c r="L25" s="6">
        <f>+$H$17*(1-$K$7/100)</f>
        <v>0.32707949999999997</v>
      </c>
      <c r="M25" s="4">
        <f>+L25/$J$26</f>
        <v>0.19268646766866526</v>
      </c>
    </row>
    <row r="26" spans="4:13" x14ac:dyDescent="0.25">
      <c r="D26" s="31"/>
      <c r="E26" s="2" t="s">
        <v>15</v>
      </c>
      <c r="F26" s="7">
        <f t="shared" ref="F26:M26" si="6">SUM(F23:F25)</f>
        <v>1.9377600000000001</v>
      </c>
      <c r="G26" s="5">
        <f t="shared" si="6"/>
        <v>1</v>
      </c>
      <c r="H26" s="6">
        <f>+$F$26*(1-$J$7/100)</f>
        <v>1.79436576</v>
      </c>
      <c r="I26" s="5">
        <f t="shared" si="6"/>
        <v>1</v>
      </c>
      <c r="J26" s="7">
        <f t="shared" si="6"/>
        <v>1.6974700089599999</v>
      </c>
      <c r="K26" s="3">
        <f t="shared" si="6"/>
        <v>1</v>
      </c>
      <c r="L26" s="7">
        <f t="shared" si="6"/>
        <v>1.6901375251199999</v>
      </c>
      <c r="M26" s="3">
        <f t="shared" si="6"/>
        <v>0.99568034557235419</v>
      </c>
    </row>
    <row r="27" spans="4:13" x14ac:dyDescent="0.25">
      <c r="D27" s="31"/>
      <c r="E27" s="2" t="s">
        <v>16</v>
      </c>
      <c r="F27" s="2"/>
      <c r="G27" s="2" t="s">
        <v>1</v>
      </c>
      <c r="H27" s="4">
        <f>+$H$26/$F$26-1</f>
        <v>-7.4000000000000066E-2</v>
      </c>
      <c r="I27" s="2"/>
      <c r="J27" s="4">
        <f>+J26/I26-1</f>
        <v>0.69747000895999989</v>
      </c>
      <c r="K27" s="2"/>
      <c r="L27" s="4">
        <f>+L26/K26-1</f>
        <v>0.69013752511999993</v>
      </c>
      <c r="M27" s="2"/>
    </row>
    <row r="29" spans="4:13" x14ac:dyDescent="0.25">
      <c r="E29" s="22" t="s">
        <v>57</v>
      </c>
      <c r="F29" s="24"/>
      <c r="G29" s="24"/>
      <c r="H29" s="24"/>
      <c r="I29" s="24"/>
      <c r="J29" s="24"/>
      <c r="K29" s="24"/>
      <c r="L29" s="23"/>
    </row>
    <row r="30" spans="4:13" x14ac:dyDescent="0.25">
      <c r="E30" s="2"/>
      <c r="F30" s="22" t="s">
        <v>9</v>
      </c>
      <c r="G30" s="23"/>
      <c r="H30" s="22" t="s">
        <v>10</v>
      </c>
      <c r="I30" s="23"/>
      <c r="J30" s="22" t="s">
        <v>11</v>
      </c>
      <c r="K30" s="23"/>
      <c r="L30" s="21" t="s">
        <v>19</v>
      </c>
      <c r="M30" s="21"/>
    </row>
    <row r="31" spans="4:13" x14ac:dyDescent="0.25">
      <c r="D31" s="31"/>
      <c r="E31" s="2" t="s">
        <v>12</v>
      </c>
      <c r="F31" s="6">
        <v>1.1782600000000001</v>
      </c>
      <c r="G31" s="4">
        <f>+$F$31/$F$34</f>
        <v>0.60805259681281476</v>
      </c>
      <c r="H31" s="6">
        <f>+$F$31*(1-$J$9/100)</f>
        <v>1.0922470200000001</v>
      </c>
      <c r="I31" s="4">
        <f>$H$31/$H$34</f>
        <v>0.60805259681281476</v>
      </c>
      <c r="J31" s="6">
        <f>+$H$31*(1-$K$9/100)</f>
        <v>1.0179742226399999</v>
      </c>
      <c r="K31" s="4">
        <f>+$J$31/$J$34</f>
        <v>0.60805259681281476</v>
      </c>
      <c r="L31" s="6">
        <f>+$H$15*(1-$K$9/100)</f>
        <v>1.01248353104</v>
      </c>
      <c r="M31" s="4">
        <f>+L31/$J$34</f>
        <v>0.60477291721835513</v>
      </c>
    </row>
    <row r="32" spans="4:13" x14ac:dyDescent="0.25">
      <c r="D32" s="31"/>
      <c r="E32" s="2" t="s">
        <v>13</v>
      </c>
      <c r="F32" s="6">
        <v>0.38450000000000001</v>
      </c>
      <c r="G32" s="4">
        <f>+$F$32/$F$34</f>
        <v>0.19842498555032614</v>
      </c>
      <c r="H32" s="6">
        <f>+$F$32*(1-$J$9/100)</f>
        <v>0.35643150000000001</v>
      </c>
      <c r="I32" s="4">
        <f>$H$32/$H$34</f>
        <v>0.19842498555032614</v>
      </c>
      <c r="J32" s="6">
        <f>+$H$32*(1-$K$9/100)</f>
        <v>0.33219415800000002</v>
      </c>
      <c r="K32" s="4">
        <f>+$J$32/$J$34</f>
        <v>0.19842498555032617</v>
      </c>
      <c r="L32" s="6">
        <f>+$H$16*(1-$K$9/100)</f>
        <v>0.33040238799999994</v>
      </c>
      <c r="M32" s="4">
        <f>+L32/$J$34</f>
        <v>0.19735473212233082</v>
      </c>
    </row>
    <row r="33" spans="4:13" x14ac:dyDescent="0.25">
      <c r="D33" s="31"/>
      <c r="E33" s="2" t="s">
        <v>14</v>
      </c>
      <c r="F33" s="6">
        <v>0.375</v>
      </c>
      <c r="G33" s="4">
        <f>+$F$33/$F$34</f>
        <v>0.19352241763685904</v>
      </c>
      <c r="H33" s="6">
        <f>+$F$33*(1-$J$9/100)</f>
        <v>0.34762500000000002</v>
      </c>
      <c r="I33" s="4">
        <f>$H$33/$H$34</f>
        <v>0.19352241763685904</v>
      </c>
      <c r="J33" s="6">
        <f>+$H$33*(1-$K$9/100)</f>
        <v>0.32398650000000001</v>
      </c>
      <c r="K33" s="4">
        <f>+$J$33/$J$34</f>
        <v>0.19352241763685907</v>
      </c>
      <c r="L33" s="6">
        <f>+$H$17*(1-$K$9/100)</f>
        <v>0.322239</v>
      </c>
      <c r="M33" s="4">
        <f>+L33/$J$34</f>
        <v>0.19247860740149306</v>
      </c>
    </row>
    <row r="34" spans="4:13" x14ac:dyDescent="0.25">
      <c r="D34" s="31"/>
      <c r="E34" s="2" t="s">
        <v>15</v>
      </c>
      <c r="F34" s="7">
        <f>SUM(F31:F33)</f>
        <v>1.9377600000000001</v>
      </c>
      <c r="G34" s="5">
        <f>SUM(G31:G33)</f>
        <v>1</v>
      </c>
      <c r="H34" s="7">
        <f>SUM(H31:H33)</f>
        <v>1.7963035200000002</v>
      </c>
      <c r="I34" s="5">
        <f>SUM(I31:I33)</f>
        <v>1</v>
      </c>
      <c r="J34" s="7">
        <f>SUM(J31:J33)</f>
        <v>1.67415488064</v>
      </c>
      <c r="K34" s="3">
        <f t="shared" ref="K34" si="7">+J34/$J$34</f>
        <v>1</v>
      </c>
      <c r="L34" s="7">
        <f>SUM(L31:L33)</f>
        <v>1.6651249190399999</v>
      </c>
      <c r="M34" s="3">
        <f>+L34/$J$34</f>
        <v>0.99460625674217906</v>
      </c>
    </row>
    <row r="35" spans="4:13" x14ac:dyDescent="0.25">
      <c r="D35" s="31"/>
      <c r="E35" s="2" t="s">
        <v>16</v>
      </c>
      <c r="F35" s="2"/>
      <c r="G35" s="2" t="s">
        <v>1</v>
      </c>
      <c r="H35" s="4">
        <f>+$H$34/$F$34-1</f>
        <v>-7.2999999999999954E-2</v>
      </c>
      <c r="I35" s="2"/>
      <c r="J35" s="4">
        <f>+J34/I34-1</f>
        <v>0.67415488063999995</v>
      </c>
      <c r="K35" s="2"/>
      <c r="L35" s="4">
        <f>+L34/K34-1</f>
        <v>0.66512491903999993</v>
      </c>
      <c r="M35" s="2"/>
    </row>
    <row r="38" spans="4:13" x14ac:dyDescent="0.25">
      <c r="E38" s="21" t="s">
        <v>58</v>
      </c>
      <c r="F38" s="21"/>
      <c r="G38" s="21"/>
      <c r="H38" s="21" t="s">
        <v>20</v>
      </c>
      <c r="I38" s="21"/>
      <c r="J38" s="21"/>
      <c r="K38" s="21"/>
      <c r="L38" s="21"/>
      <c r="M38" s="21"/>
    </row>
    <row r="39" spans="4:13" x14ac:dyDescent="0.25">
      <c r="E39" s="2"/>
      <c r="F39" s="22" t="s">
        <v>9</v>
      </c>
      <c r="G39" s="23"/>
      <c r="H39" s="21" t="s">
        <v>49</v>
      </c>
      <c r="I39" s="21"/>
      <c r="J39" s="21" t="s">
        <v>50</v>
      </c>
      <c r="K39" s="21"/>
      <c r="L39" s="22" t="s">
        <v>51</v>
      </c>
      <c r="M39" s="23"/>
    </row>
    <row r="40" spans="4:13" x14ac:dyDescent="0.25">
      <c r="E40" s="2" t="s">
        <v>12</v>
      </c>
      <c r="F40" s="6">
        <v>1.1782600000000001</v>
      </c>
      <c r="G40" s="4">
        <f>+F40/$F$18</f>
        <v>0.60805259681281476</v>
      </c>
      <c r="H40" s="6">
        <f>+$F$40*(1-$J$5/100)</f>
        <v>1.08635572</v>
      </c>
      <c r="I40" s="4">
        <f>$H$40/$H$18</f>
        <v>0.60805259681281476</v>
      </c>
      <c r="J40" s="6">
        <f>+$F$23*(1-$J$7/100)</f>
        <v>1.09106876</v>
      </c>
      <c r="K40" s="4">
        <f>J40/$H$26</f>
        <v>0.60805259681281476</v>
      </c>
      <c r="L40" s="6">
        <f>+$F$31*(1-$J$9/100)</f>
        <v>1.0922470200000001</v>
      </c>
      <c r="M40" s="4">
        <f>$H$31/$H$34</f>
        <v>0.60805259681281476</v>
      </c>
    </row>
    <row r="41" spans="4:13" x14ac:dyDescent="0.25">
      <c r="E41" s="2" t="s">
        <v>13</v>
      </c>
      <c r="F41" s="6">
        <v>0.38450000000000001</v>
      </c>
      <c r="G41" s="4">
        <f>+F41/$F$18</f>
        <v>0.19842498555032614</v>
      </c>
      <c r="H41" s="6">
        <f>+$F$41*(1-$J$5/100)</f>
        <v>0.35450899999999996</v>
      </c>
      <c r="I41" s="4">
        <f>$H$41/$H$18</f>
        <v>0.19842498555032614</v>
      </c>
      <c r="J41" s="6">
        <f>+$F$24*(1-$J$7/100)</f>
        <v>0.356047</v>
      </c>
      <c r="K41" s="4">
        <f>J41/$H$26</f>
        <v>0.19842498555032614</v>
      </c>
      <c r="L41" s="6">
        <f>+$F$32*(1-$J$9/100)</f>
        <v>0.35643150000000001</v>
      </c>
      <c r="M41" s="4">
        <f>$H$32/$H$34</f>
        <v>0.19842498555032614</v>
      </c>
    </row>
    <row r="42" spans="4:13" x14ac:dyDescent="0.25">
      <c r="E42" s="2" t="s">
        <v>14</v>
      </c>
      <c r="F42" s="6">
        <v>0.375</v>
      </c>
      <c r="G42" s="4">
        <f t="shared" ref="G42" si="8">+F42/$F$18</f>
        <v>0.19352241763685904</v>
      </c>
      <c r="H42" s="6">
        <f>+$F$42*(1-$J$5/100)</f>
        <v>0.34575</v>
      </c>
      <c r="I42" s="4">
        <f>$H$42/$H$18</f>
        <v>0.19352241763685907</v>
      </c>
      <c r="J42" s="6">
        <f>+$F$25*(1-$J$7/100)</f>
        <v>0.34724999999999995</v>
      </c>
      <c r="K42" s="4">
        <f>J42/$H$26</f>
        <v>0.19352241763685901</v>
      </c>
      <c r="L42" s="6">
        <f>+$F$33*(1-$J$9/100)</f>
        <v>0.34762500000000002</v>
      </c>
      <c r="M42" s="4">
        <f>$H$33/$H$34</f>
        <v>0.19352241763685904</v>
      </c>
    </row>
    <row r="43" spans="4:13" x14ac:dyDescent="0.25">
      <c r="E43" s="2" t="s">
        <v>15</v>
      </c>
      <c r="F43" s="7">
        <f t="shared" ref="F43:G43" si="9">SUM(F40:F42)</f>
        <v>1.9377600000000001</v>
      </c>
      <c r="G43" s="5">
        <f t="shared" si="9"/>
        <v>1</v>
      </c>
      <c r="H43" s="7">
        <f>SUM($H$40:$H$42)</f>
        <v>1.78661472</v>
      </c>
      <c r="I43" s="5">
        <f>SUM($I$40:$I$42)</f>
        <v>1</v>
      </c>
      <c r="J43" s="6">
        <f>+$F$26*(1-$J$7/100)</f>
        <v>1.79436576</v>
      </c>
      <c r="K43" s="5">
        <f t="shared" ref="K43" si="10">SUM(K40:K42)</f>
        <v>1</v>
      </c>
      <c r="L43" s="7">
        <f>SUM(L40:L42)</f>
        <v>1.7963035200000002</v>
      </c>
      <c r="M43" s="5">
        <f>SUM(M40:M42)</f>
        <v>1</v>
      </c>
    </row>
    <row r="44" spans="4:13" x14ac:dyDescent="0.25">
      <c r="E44" s="2" t="s">
        <v>16</v>
      </c>
      <c r="F44" s="2"/>
      <c r="G44" s="2" t="s">
        <v>1</v>
      </c>
      <c r="H44" s="8">
        <f>+$H$43/$F$43-1</f>
        <v>-7.8000000000000069E-2</v>
      </c>
      <c r="I44" s="2"/>
      <c r="J44" s="4">
        <f>+$H$26/$F$26-1</f>
        <v>-7.4000000000000066E-2</v>
      </c>
      <c r="K44" s="2"/>
      <c r="L44" s="4">
        <f>+$H$34/$F$34-1</f>
        <v>-7.2999999999999954E-2</v>
      </c>
      <c r="M44" s="2"/>
    </row>
  </sheetData>
  <mergeCells count="47">
    <mergeCell ref="F39:G39"/>
    <mergeCell ref="H39:I39"/>
    <mergeCell ref="J39:K39"/>
    <mergeCell ref="L39:M39"/>
    <mergeCell ref="D15:D19"/>
    <mergeCell ref="F30:G30"/>
    <mergeCell ref="H30:I30"/>
    <mergeCell ref="J30:K30"/>
    <mergeCell ref="E21:L21"/>
    <mergeCell ref="L22:M22"/>
    <mergeCell ref="L30:M30"/>
    <mergeCell ref="D31:D35"/>
    <mergeCell ref="F22:G22"/>
    <mergeCell ref="H22:I22"/>
    <mergeCell ref="J22:K22"/>
    <mergeCell ref="D23:D27"/>
    <mergeCell ref="E29:L29"/>
    <mergeCell ref="J5:J6"/>
    <mergeCell ref="J7:J8"/>
    <mergeCell ref="J9:J10"/>
    <mergeCell ref="K5:K6"/>
    <mergeCell ref="K7:K8"/>
    <mergeCell ref="K9:K10"/>
    <mergeCell ref="E5:E6"/>
    <mergeCell ref="E7:E8"/>
    <mergeCell ref="E9:E10"/>
    <mergeCell ref="E2:I2"/>
    <mergeCell ref="F9:F10"/>
    <mergeCell ref="G9:G10"/>
    <mergeCell ref="H9:H10"/>
    <mergeCell ref="I5:I6"/>
    <mergeCell ref="I7:I8"/>
    <mergeCell ref="I9:I10"/>
    <mergeCell ref="F5:F6"/>
    <mergeCell ref="G5:G6"/>
    <mergeCell ref="H5:H6"/>
    <mergeCell ref="F7:F8"/>
    <mergeCell ref="G7:G8"/>
    <mergeCell ref="H7:H8"/>
    <mergeCell ref="E13:I13"/>
    <mergeCell ref="F14:G14"/>
    <mergeCell ref="H14:I14"/>
    <mergeCell ref="J14:K14"/>
    <mergeCell ref="J13:K13"/>
    <mergeCell ref="E38:G38"/>
    <mergeCell ref="H38:M38"/>
    <mergeCell ref="E12:K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4CDB-FFF5-48FC-A9B2-C8F59D567DCF}">
  <dimension ref="B2:L12"/>
  <sheetViews>
    <sheetView tabSelected="1" workbookViewId="0">
      <selection activeCell="G10" sqref="G10"/>
    </sheetView>
  </sheetViews>
  <sheetFormatPr defaultRowHeight="15" x14ac:dyDescent="0.25"/>
  <cols>
    <col min="6" max="6" width="9.5703125" bestFit="1" customWidth="1"/>
    <col min="8" max="8" width="8.28515625" customWidth="1"/>
  </cols>
  <sheetData>
    <row r="2" spans="2:12" x14ac:dyDescent="0.25">
      <c r="B2" s="14" t="s">
        <v>22</v>
      </c>
      <c r="C2" s="15">
        <v>1.8</v>
      </c>
      <c r="E2" s="14" t="s">
        <v>21</v>
      </c>
      <c r="F2" s="15">
        <v>1.2</v>
      </c>
      <c r="G2" s="10"/>
      <c r="H2" s="14" t="s">
        <v>22</v>
      </c>
      <c r="I2" s="15">
        <v>0.6</v>
      </c>
      <c r="J2" s="10"/>
      <c r="K2" s="14" t="s">
        <v>22</v>
      </c>
      <c r="L2" s="15"/>
    </row>
    <row r="3" spans="2:12" x14ac:dyDescent="0.25">
      <c r="B3" s="13" t="s">
        <v>23</v>
      </c>
      <c r="C3" s="16">
        <f>SQRT(($C$2^2)/3)</f>
        <v>1.0392304845413265</v>
      </c>
      <c r="E3" s="13" t="s">
        <v>23</v>
      </c>
      <c r="F3" s="16">
        <f>SQRT(($F$2^2)/3)</f>
        <v>0.69282032302755092</v>
      </c>
      <c r="H3" s="13" t="s">
        <v>23</v>
      </c>
      <c r="I3" s="16">
        <f>SQRT(($I$2^2)/3)</f>
        <v>0.34641016151377546</v>
      </c>
      <c r="K3" s="13" t="s">
        <v>23</v>
      </c>
      <c r="L3" s="16">
        <f>SQRT(($L$2^2)/3)</f>
        <v>0</v>
      </c>
    </row>
    <row r="4" spans="2:12" x14ac:dyDescent="0.25">
      <c r="B4" s="13" t="s">
        <v>24</v>
      </c>
      <c r="C4" s="16">
        <f t="shared" ref="C4:C5" si="0">SQRT(($C$2^2)/3)</f>
        <v>1.0392304845413265</v>
      </c>
      <c r="E4" s="13" t="s">
        <v>24</v>
      </c>
      <c r="F4" s="16">
        <f t="shared" ref="F4:F5" si="1">SQRT(($F$2^2)/3)</f>
        <v>0.69282032302755092</v>
      </c>
      <c r="H4" s="13" t="s">
        <v>24</v>
      </c>
      <c r="I4" s="16">
        <f t="shared" ref="I4:I5" si="2">SQRT(($I$2^2)/3)</f>
        <v>0.34641016151377546</v>
      </c>
      <c r="K4" s="13" t="s">
        <v>24</v>
      </c>
      <c r="L4" s="16">
        <f t="shared" ref="L4:L5" si="3">SQRT(($L$2^2)/3)</f>
        <v>0</v>
      </c>
    </row>
    <row r="5" spans="2:12" x14ac:dyDescent="0.25">
      <c r="B5" s="13" t="s">
        <v>25</v>
      </c>
      <c r="C5" s="16">
        <f t="shared" si="0"/>
        <v>1.0392304845413265</v>
      </c>
      <c r="E5" s="13" t="s">
        <v>25</v>
      </c>
      <c r="F5" s="16">
        <f t="shared" si="1"/>
        <v>0.69282032302755092</v>
      </c>
      <c r="H5" s="13" t="s">
        <v>25</v>
      </c>
      <c r="I5" s="16">
        <f t="shared" si="2"/>
        <v>0.34641016151377546</v>
      </c>
      <c r="K5" s="13" t="s">
        <v>25</v>
      </c>
      <c r="L5" s="16">
        <f t="shared" si="3"/>
        <v>0</v>
      </c>
    </row>
    <row r="12" spans="2:12" ht="16.5" x14ac:dyDescent="0.25">
      <c r="H1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CALCULO SAMPLE COMPARISON </vt:lpstr>
      <vt:lpstr>CALCULO SHADE HISTORY REPORT</vt:lpstr>
      <vt:lpstr>TOLERANCIA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Elkin Duvan Quebrada Guapacha</dc:creator>
  <cp:keywords/>
  <dc:description/>
  <cp:lastModifiedBy>Elkin Duvan Quebrada Guapacha</cp:lastModifiedBy>
  <cp:revision/>
  <dcterms:created xsi:type="dcterms:W3CDTF">2026-02-26T20:54:09Z</dcterms:created>
  <dcterms:modified xsi:type="dcterms:W3CDTF">2026-04-23T19:38:39Z</dcterms:modified>
  <cp:category/>
  <cp:contentStatus/>
</cp:coreProperties>
</file>