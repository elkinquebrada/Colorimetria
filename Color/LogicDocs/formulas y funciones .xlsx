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atsplc-my.sharepoint.com/personal/elkinduvan_quebradaguapacha_coats_com/Documents/Escritorio/Colorimetria/Color/LogicDocs/"/>
    </mc:Choice>
  </mc:AlternateContent>
  <xr:revisionPtr revIDLastSave="1226" documentId="8_{9F78D261-5971-4E36-A791-098E2ABB119D}" xr6:coauthVersionLast="47" xr6:coauthVersionMax="47" xr10:uidLastSave="{DDA06FF1-4140-4466-BBD6-67C59A208200}"/>
  <bookViews>
    <workbookView xWindow="-120" yWindow="-120" windowWidth="21840" windowHeight="13020" activeTab="2" xr2:uid="{74F1A0B1-3ED8-4C59-B930-9B261CE40F5C}"/>
  </bookViews>
  <sheets>
    <sheet name="CMC" sheetId="5" r:id="rId1"/>
    <sheet name="CMC_Calculator" sheetId="6" r:id="rId2"/>
    <sheet name="Tolerancias" sheetId="7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7" l="1"/>
  <c r="I5" i="7"/>
  <c r="F5" i="7"/>
  <c r="C5" i="7"/>
  <c r="L4" i="7"/>
  <c r="I4" i="7"/>
  <c r="F4" i="7"/>
  <c r="C4" i="7"/>
  <c r="L3" i="7"/>
  <c r="I3" i="7"/>
  <c r="F3" i="7"/>
  <c r="C3" i="7"/>
  <c r="H13" i="6"/>
  <c r="H11" i="6"/>
  <c r="R9" i="6"/>
  <c r="R10" i="6" s="1"/>
  <c r="H9" i="6"/>
  <c r="H10" i="6" s="1"/>
  <c r="R7" i="6"/>
  <c r="H7" i="6"/>
  <c r="R5" i="6"/>
  <c r="H5" i="6"/>
  <c r="R4" i="6"/>
  <c r="H4" i="6"/>
  <c r="O3" i="6"/>
  <c r="R3" i="6" s="1"/>
  <c r="E3" i="6"/>
  <c r="H3" i="6" s="1"/>
  <c r="R2" i="6"/>
  <c r="R13" i="6" s="1"/>
  <c r="O2" i="6"/>
  <c r="R8" i="6" s="1"/>
  <c r="H2" i="6"/>
  <c r="E2" i="6"/>
  <c r="H8" i="6" s="1"/>
  <c r="H12" i="6" s="1"/>
  <c r="M52" i="5"/>
  <c r="L52" i="5"/>
  <c r="E45" i="5"/>
  <c r="E47" i="5" s="1"/>
  <c r="C45" i="5"/>
  <c r="N44" i="5"/>
  <c r="P44" i="5" s="1"/>
  <c r="L44" i="5"/>
  <c r="E44" i="5"/>
  <c r="E48" i="5" s="1"/>
  <c r="D44" i="5"/>
  <c r="D45" i="5" s="1"/>
  <c r="D47" i="5" s="1"/>
  <c r="C44" i="5"/>
  <c r="L40" i="5" s="1"/>
  <c r="I41" i="5"/>
  <c r="H41" i="5"/>
  <c r="Q40" i="5"/>
  <c r="I40" i="5"/>
  <c r="H40" i="5"/>
  <c r="Q44" i="5" s="1"/>
  <c r="E36" i="5"/>
  <c r="C36" i="5"/>
  <c r="I33" i="5"/>
  <c r="I45" i="5" s="1"/>
  <c r="I47" i="5" s="1"/>
  <c r="E33" i="5"/>
  <c r="D33" i="5"/>
  <c r="D35" i="5" s="1"/>
  <c r="C33" i="5"/>
  <c r="N32" i="5"/>
  <c r="P32" i="5" s="1"/>
  <c r="M32" i="5"/>
  <c r="L32" i="5"/>
  <c r="L28" i="5" s="1"/>
  <c r="E32" i="5"/>
  <c r="D32" i="5"/>
  <c r="D36" i="5" s="1"/>
  <c r="C32" i="5"/>
  <c r="E35" i="5" s="1"/>
  <c r="I29" i="5"/>
  <c r="H29" i="5"/>
  <c r="H32" i="5" s="1"/>
  <c r="Q28" i="5"/>
  <c r="I28" i="5"/>
  <c r="H28" i="5"/>
  <c r="Q32" i="5" s="1"/>
  <c r="I23" i="5"/>
  <c r="C23" i="5"/>
  <c r="N20" i="5"/>
  <c r="P20" i="5" s="1"/>
  <c r="M20" i="5"/>
  <c r="L20" i="5"/>
  <c r="E20" i="5"/>
  <c r="E21" i="5" s="1"/>
  <c r="D20" i="5"/>
  <c r="D21" i="5" s="1"/>
  <c r="C20" i="5"/>
  <c r="I17" i="5"/>
  <c r="H17" i="5"/>
  <c r="H20" i="5" s="1"/>
  <c r="Q16" i="5"/>
  <c r="I16" i="5"/>
  <c r="H16" i="5"/>
  <c r="Q20" i="5" s="1"/>
  <c r="D11" i="5"/>
  <c r="E9" i="5"/>
  <c r="P8" i="5"/>
  <c r="P9" i="5" s="1"/>
  <c r="Q9" i="5" s="1"/>
  <c r="R9" i="5" s="1"/>
  <c r="E8" i="5"/>
  <c r="E11" i="5" s="1"/>
  <c r="E7" i="5"/>
  <c r="H14" i="6" l="1"/>
  <c r="R14" i="6"/>
  <c r="H6" i="6"/>
  <c r="H15" i="6" s="1"/>
  <c r="R6" i="6"/>
  <c r="H16" i="6"/>
  <c r="R11" i="6"/>
  <c r="R12" i="6" s="1"/>
  <c r="H33" i="5"/>
  <c r="H35" i="5" s="1"/>
  <c r="M28" i="5"/>
  <c r="H36" i="5"/>
  <c r="O20" i="5"/>
  <c r="H21" i="5"/>
  <c r="H23" i="5" s="1"/>
  <c r="M16" i="5"/>
  <c r="H24" i="5"/>
  <c r="O32" i="5"/>
  <c r="E24" i="5"/>
  <c r="I32" i="5"/>
  <c r="I35" i="5"/>
  <c r="C47" i="5"/>
  <c r="Q8" i="5"/>
  <c r="R8" i="5" s="1"/>
  <c r="L16" i="5"/>
  <c r="I20" i="5"/>
  <c r="D24" i="5"/>
  <c r="H55" i="5" s="1"/>
  <c r="H44" i="5"/>
  <c r="C21" i="5"/>
  <c r="I44" i="5"/>
  <c r="L55" i="5"/>
  <c r="C48" i="5"/>
  <c r="D54" i="5"/>
  <c r="M44" i="5"/>
  <c r="O44" i="5" s="1"/>
  <c r="D48" i="5"/>
  <c r="H54" i="5"/>
  <c r="D23" i="5"/>
  <c r="E23" i="5"/>
  <c r="C35" i="5"/>
  <c r="C24" i="5"/>
  <c r="D53" i="5" s="1"/>
  <c r="D55" i="5"/>
  <c r="R16" i="6" l="1"/>
  <c r="R15" i="6"/>
  <c r="J55" i="5"/>
  <c r="F53" i="5"/>
  <c r="D57" i="5"/>
  <c r="D58" i="5" s="1"/>
  <c r="J54" i="5"/>
  <c r="N28" i="5"/>
  <c r="O28" i="5" s="1"/>
  <c r="I36" i="5"/>
  <c r="I48" i="5"/>
  <c r="N40" i="5"/>
  <c r="H45" i="5"/>
  <c r="H47" i="5" s="1"/>
  <c r="M40" i="5"/>
  <c r="O40" i="5" s="1"/>
  <c r="H48" i="5"/>
  <c r="F54" i="5"/>
  <c r="E54" i="5"/>
  <c r="N55" i="5"/>
  <c r="N16" i="5"/>
  <c r="I24" i="5"/>
  <c r="H53" i="5" s="1"/>
  <c r="L53" i="5"/>
  <c r="O16" i="5"/>
  <c r="E55" i="5"/>
  <c r="F55" i="5"/>
  <c r="L54" i="5"/>
  <c r="N54" i="5" l="1"/>
  <c r="L35" i="5"/>
  <c r="L23" i="5" s="1"/>
  <c r="L57" i="5"/>
  <c r="N53" i="5"/>
  <c r="M53" i="5"/>
  <c r="H57" i="5"/>
  <c r="J53" i="5"/>
  <c r="I53" i="5"/>
  <c r="E53" i="5"/>
  <c r="E57" i="5" s="1"/>
  <c r="H58" i="5" l="1"/>
  <c r="I55" i="5"/>
  <c r="I54" i="5"/>
  <c r="I57" i="5" s="1"/>
  <c r="L58" i="5"/>
  <c r="M55" i="5"/>
  <c r="M54" i="5"/>
  <c r="M57" i="5" s="1"/>
</calcChain>
</file>

<file path=xl/sharedStrings.xml><?xml version="1.0" encoding="utf-8"?>
<sst xmlns="http://schemas.openxmlformats.org/spreadsheetml/2006/main" count="214" uniqueCount="95">
  <si>
    <t>Lightness</t>
  </si>
  <si>
    <t>Chroma</t>
  </si>
  <si>
    <t>Hue</t>
  </si>
  <si>
    <t>D65</t>
  </si>
  <si>
    <t>TL84</t>
  </si>
  <si>
    <t>L</t>
  </si>
  <si>
    <t>a</t>
  </si>
  <si>
    <t>b</t>
  </si>
  <si>
    <t>C</t>
  </si>
  <si>
    <t>Análisis de Color</t>
  </si>
  <si>
    <t>Shade History Report</t>
  </si>
  <si>
    <t>Dye code</t>
  </si>
  <si>
    <t>Dye name</t>
  </si>
  <si>
    <t>Concentration, %</t>
  </si>
  <si>
    <t>Proportion, %</t>
  </si>
  <si>
    <t>Shade name</t>
  </si>
  <si>
    <t>338VA</t>
  </si>
  <si>
    <t>Tolerances</t>
  </si>
  <si>
    <t>Foron Navy S-RD</t>
  </si>
  <si>
    <t>Dyeing Class</t>
  </si>
  <si>
    <t>IBNTNPG</t>
  </si>
  <si>
    <t>dE =</t>
  </si>
  <si>
    <t>Foron Bri Yellow SE-RD</t>
  </si>
  <si>
    <t>Substrate</t>
  </si>
  <si>
    <t>IBN</t>
  </si>
  <si>
    <t>Foron Orange SE-RDL</t>
  </si>
  <si>
    <t>Count / Ply</t>
  </si>
  <si>
    <t>470x3</t>
  </si>
  <si>
    <t>[ Dyes ]</t>
  </si>
  <si>
    <t>Fibre Type</t>
  </si>
  <si>
    <t>G002074</t>
  </si>
  <si>
    <r>
      <t xml:space="preserve">L, a, b </t>
    </r>
    <r>
      <rPr>
        <sz val="14"/>
        <color theme="0" tint="-0.34998626667073579"/>
        <rFont val="Aptos Narrow"/>
        <family val="2"/>
        <scheme val="minor"/>
      </rPr>
      <t>(lot - std)</t>
    </r>
  </si>
  <si>
    <t>L, C, H</t>
  </si>
  <si>
    <t>CMC (2:1)</t>
  </si>
  <si>
    <t>Std</t>
  </si>
  <si>
    <t>Lot</t>
  </si>
  <si>
    <t>D</t>
  </si>
  <si>
    <t>dL</t>
  </si>
  <si>
    <t>da</t>
  </si>
  <si>
    <t>db</t>
  </si>
  <si>
    <t>dC</t>
  </si>
  <si>
    <t>dH</t>
  </si>
  <si>
    <t>SL</t>
  </si>
  <si>
    <t>SC</t>
  </si>
  <si>
    <t>h</t>
  </si>
  <si>
    <t>SH</t>
  </si>
  <si>
    <t>T</t>
  </si>
  <si>
    <t>F</t>
  </si>
  <si>
    <t>Yellower (Redder)</t>
  </si>
  <si>
    <t>Acción</t>
  </si>
  <si>
    <t>Índice de metamerismo (MI)</t>
  </si>
  <si>
    <t>CWF</t>
  </si>
  <si>
    <t>New recipes</t>
  </si>
  <si>
    <t>[ Dye ]</t>
  </si>
  <si>
    <t>Prop., %</t>
  </si>
  <si>
    <t>Foron Rubine SE-RD</t>
  </si>
  <si>
    <t>Condiciones</t>
  </si>
  <si>
    <t>Gráfico</t>
  </si>
  <si>
    <t>Claro (Thin)</t>
  </si>
  <si>
    <t>Aumentar [ ]</t>
  </si>
  <si>
    <t>Duller</t>
  </si>
  <si>
    <t>Brighter</t>
  </si>
  <si>
    <t>Oscuro (Full)</t>
  </si>
  <si>
    <t>Disminuir [ ]</t>
  </si>
  <si>
    <t>Amarillo</t>
  </si>
  <si>
    <t>Aumentar Amarillo</t>
  </si>
  <si>
    <t>Disminuir Amarillo</t>
  </si>
  <si>
    <t>Azul</t>
  </si>
  <si>
    <t>Aumentar Azul</t>
  </si>
  <si>
    <t>Disminuir Azul</t>
  </si>
  <si>
    <t xml:space="preserve">Verde </t>
  </si>
  <si>
    <t>Aumentar Verde</t>
  </si>
  <si>
    <t>Disminuir Verde</t>
  </si>
  <si>
    <t>Rojo</t>
  </si>
  <si>
    <t>Aumentar Rojo</t>
  </si>
  <si>
    <t>Disminuir Rojo</t>
  </si>
  <si>
    <t>Yellower (Greener)</t>
  </si>
  <si>
    <t>Bluer (Redder)</t>
  </si>
  <si>
    <t>Bluer (Greener)</t>
  </si>
  <si>
    <t>Greener (Bluer)</t>
  </si>
  <si>
    <t>Redder (Yellower)</t>
  </si>
  <si>
    <t>Greener (Yellower)</t>
  </si>
  <si>
    <t>Redder (Bluer)</t>
  </si>
  <si>
    <t>Type</t>
  </si>
  <si>
    <t>Parameter</t>
  </si>
  <si>
    <t>Value</t>
  </si>
  <si>
    <t>dL_CMC</t>
  </si>
  <si>
    <t>dC_CMC</t>
  </si>
  <si>
    <t>dH_CMC</t>
  </si>
  <si>
    <t>DE_CMC</t>
  </si>
  <si>
    <t>DE</t>
  </si>
  <si>
    <t xml:space="preserve">DE </t>
  </si>
  <si>
    <t xml:space="preserve">DL </t>
  </si>
  <si>
    <t>DC</t>
  </si>
  <si>
    <t xml:space="preserve">DH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</si>
</sst>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0%"/>
    <numFmt numFmtId="167" formatCode="0.0000"/>
  </numFmts>
  <fonts count="4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FFFF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4"/>
      <color theme="0" tint="-0.34998626667073579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4"/>
      <color rgb="FF0070C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2"/>
      <color theme="0"/>
      <name val="Symbol"/>
      <family val="1"/>
      <charset val="2"/>
    </font>
    <font>
      <b/>
      <sz val="12"/>
      <color rgb="FFFF000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1"/>
      <color rgb="FF0070C0"/>
      <name val="Courier New"/>
      <family val="3"/>
    </font>
    <font>
      <sz val="11"/>
      <color rgb="FF0070C0"/>
      <name val="Courier New"/>
      <family val="3"/>
    </font>
    <font>
      <b/>
      <sz val="20"/>
      <color theme="5"/>
      <name val="Courier New"/>
      <family val="3"/>
    </font>
    <font>
      <sz val="10"/>
      <color theme="0" tint="-0.499984740745262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4"/>
      <color theme="5"/>
      <name val="Aptos Display"/>
      <family val="2"/>
      <scheme val="major"/>
    </font>
    <font>
      <sz val="12"/>
      <color rgb="FF0070C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4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rgb="FFFFFF00"/>
      <name val="Aptos Narrow"/>
      <family val="2"/>
      <scheme val="minor"/>
    </font>
    <font>
      <sz val="10"/>
      <color rgb="FF00B0F0"/>
      <name val="Aptos Narrow"/>
      <family val="2"/>
      <scheme val="minor"/>
    </font>
    <font>
      <sz val="10"/>
      <color rgb="FF00B05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4" fontId="11" fillId="0" borderId="5" xfId="1" applyNumberFormat="1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166" fontId="14" fillId="0" borderId="0" xfId="0" applyNumberFormat="1" applyFont="1" applyAlignment="1">
      <alignment horizontal="center" vertical="center"/>
    </xf>
    <xf numFmtId="9" fontId="1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6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5" fontId="13" fillId="0" borderId="9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9" fontId="25" fillId="0" borderId="9" xfId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9" fontId="32" fillId="0" borderId="0" xfId="1" applyFont="1" applyAlignment="1">
      <alignment horizontal="center" vertical="center"/>
    </xf>
    <xf numFmtId="166" fontId="31" fillId="0" borderId="5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34" fillId="5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1" fillId="0" borderId="0" xfId="0" applyFont="1" applyAlignment="1">
      <alignment horizontal="center" vertical="center"/>
    </xf>
    <xf numFmtId="167" fontId="41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2" fontId="28" fillId="0" borderId="8" xfId="0" applyNumberFormat="1" applyFont="1" applyBorder="1" applyAlignment="1">
      <alignment horizontal="center" vertical="center"/>
    </xf>
    <xf numFmtId="2" fontId="30" fillId="6" borderId="13" xfId="0" applyNumberFormat="1" applyFont="1" applyFill="1" applyBorder="1" applyAlignment="1">
      <alignment horizontal="center" vertical="center"/>
    </xf>
    <xf numFmtId="2" fontId="30" fillId="6" borderId="8" xfId="0" applyNumberFormat="1" applyFont="1" applyFill="1" applyBorder="1" applyAlignment="1">
      <alignment horizontal="center" vertical="center"/>
    </xf>
    <xf numFmtId="2" fontId="30" fillId="6" borderId="14" xfId="0" applyNumberFormat="1" applyFont="1" applyFill="1" applyBorder="1" applyAlignment="1">
      <alignment horizontal="center" vertical="center"/>
    </xf>
    <xf numFmtId="2" fontId="30" fillId="6" borderId="15" xfId="0" applyNumberFormat="1" applyFont="1" applyFill="1" applyBorder="1" applyAlignment="1">
      <alignment horizontal="center" vertical="center"/>
    </xf>
    <xf numFmtId="2" fontId="30" fillId="6" borderId="3" xfId="0" applyNumberFormat="1" applyFont="1" applyFill="1" applyBorder="1" applyAlignment="1">
      <alignment horizontal="center" vertical="center"/>
    </xf>
    <xf numFmtId="2" fontId="30" fillId="6" borderId="16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" fillId="0" borderId="17" xfId="0" applyFont="1" applyBorder="1"/>
    <xf numFmtId="2" fontId="1" fillId="0" borderId="17" xfId="0" applyNumberFormat="1" applyFont="1" applyBorder="1"/>
    <xf numFmtId="0" fontId="1" fillId="0" borderId="0" xfId="0" applyFont="1"/>
    <xf numFmtId="0" fontId="0" fillId="0" borderId="17" xfId="0" applyBorder="1"/>
    <xf numFmtId="165" fontId="0" fillId="0" borderId="17" xfId="0" applyNumberFormat="1" applyBorder="1"/>
    <xf numFmtId="0" fontId="4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15">
    <dxf>
      <font>
        <color rgb="FF00B0F0"/>
      </font>
    </dxf>
    <dxf>
      <font>
        <color rgb="FFC00000"/>
      </font>
    </dxf>
    <dxf>
      <font>
        <color rgb="FF00B0F0"/>
      </font>
    </dxf>
    <dxf>
      <font>
        <color rgb="FFC00000"/>
      </font>
    </dxf>
    <dxf>
      <font>
        <color rgb="FF00B0F0"/>
      </font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X = a,</a:t>
            </a:r>
            <a:r>
              <a:rPr lang="en-GB" baseline="0"/>
              <a:t> Y = b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00B0F0"/>
                </a:solidFill>
                <a:ln w="34925" cap="flat" cmpd="dbl" algn="ctr">
                  <a:solidFill>
                    <a:srgbClr val="00B0F0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solidFill>
                  <a:srgbClr val="00B0F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79-408C-9BDE-06EE8858AA82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tx1"/>
                </a:solidFill>
                <a:ln w="34925" cap="flat" cmpd="dbl" algn="ctr">
                  <a:solidFill>
                    <a:schemeClr val="accent1">
                      <a:lumMod val="75000"/>
                      <a:alpha val="70000"/>
                    </a:scheme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B79-408C-9BDE-06EE8858AA82}"/>
              </c:ext>
            </c:extLst>
          </c:dPt>
          <c:xVal>
            <c:numRef>
              <c:f>[1]CMC!$D$16:$D$17</c:f>
              <c:numCache>
                <c:formatCode>General</c:formatCode>
                <c:ptCount val="2"/>
                <c:pt idx="0">
                  <c:v>-7.26</c:v>
                </c:pt>
                <c:pt idx="1">
                  <c:v>-6.83</c:v>
                </c:pt>
              </c:numCache>
            </c:numRef>
          </c:xVal>
          <c:yVal>
            <c:numRef>
              <c:f>[1]CMC!$E$16:$E$17</c:f>
              <c:numCache>
                <c:formatCode>General</c:formatCode>
                <c:ptCount val="2"/>
                <c:pt idx="0">
                  <c:v>6.67</c:v>
                </c:pt>
                <c:pt idx="1">
                  <c:v>7.11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79-408C-9BDE-06EE8858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232335"/>
        <c:axId val="1759234255"/>
      </c:scatterChart>
      <c:valAx>
        <c:axId val="175923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34255"/>
        <c:crosses val="autoZero"/>
        <c:crossBetween val="midCat"/>
      </c:valAx>
      <c:valAx>
        <c:axId val="17592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3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1142999</xdr:colOff>
      <xdr:row>60</xdr:row>
      <xdr:rowOff>52388</xdr:rowOff>
    </xdr:from>
    <xdr:to>
      <xdr:col>18</xdr:col>
      <xdr:colOff>47624</xdr:colOff>
      <xdr:row>74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A6702-3329-4C85-A165-53680BD0C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PEEQGuapacha\Downloads\Pass%20Fail%20ELKIN.xlsx" TargetMode="External"/><Relationship Id="rId1" Type="http://schemas.openxmlformats.org/officeDocument/2006/relationships/externalLinkPath" Target="file:///C:\Users\COPEEQGuapacha\Downloads\Pass%20Fail%20ELKI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ass%20Fail%20ELKIN.xlsx" TargetMode="External"/><Relationship Id="rId2" Type="http://schemas.openxmlformats.org/officeDocument/2006/relationships/externalLinkPath" Target="https://coatsplc-my.sharepoint.com/personal/elkinduvan_quebradaguapacha_coats_com/Documents/Escritorio/Pass%20Fail%20ELKIN.xlsx" TargetMode="External"/><Relationship Id="rId1" Type="http://schemas.openxmlformats.org/officeDocument/2006/relationships/externalLinkPath" Target="/personal/elkinduvan_quebradaguapacha_coats_com/Documents/Escritorio/Pass%20Fail%20ELK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MC"/>
      <sheetName val="CMC_Calculator"/>
    </sheetNames>
    <sheetDataSet>
      <sheetData sheetId="0">
        <row r="16">
          <cell r="D16">
            <v>-7.26</v>
          </cell>
          <cell r="E16">
            <v>6.67</v>
          </cell>
        </row>
        <row r="17">
          <cell r="D17">
            <v>-6.83</v>
          </cell>
          <cell r="E17">
            <v>7.11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MC"/>
      <sheetName val="Sheet1"/>
      <sheetName val="CMC_Calculator"/>
    </sheetNames>
    <sheetDataSet>
      <sheetData sheetId="0">
        <row r="16">
          <cell r="E16">
            <v>6.67</v>
          </cell>
        </row>
        <row r="17">
          <cell r="E17">
            <v>7.11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49A5-79A6-4F47-BF67-3D921A7DEEDB}">
  <dimension ref="B1:T182"/>
  <sheetViews>
    <sheetView workbookViewId="0">
      <selection sqref="A1:XFD1048576"/>
    </sheetView>
  </sheetViews>
  <sheetFormatPr defaultColWidth="9.140625" defaultRowHeight="15" x14ac:dyDescent="0.25"/>
  <cols>
    <col min="1" max="1" width="3.7109375" style="1" customWidth="1"/>
    <col min="2" max="2" width="14.28515625" style="1" customWidth="1"/>
    <col min="3" max="5" width="21.7109375" style="1" customWidth="1"/>
    <col min="6" max="6" width="4.5703125" style="1" bestFit="1" customWidth="1"/>
    <col min="7" max="7" width="4.140625" style="1" customWidth="1"/>
    <col min="8" max="8" width="11.7109375" style="1" customWidth="1"/>
    <col min="9" max="9" width="17.42578125" style="1" bestFit="1" customWidth="1"/>
    <col min="10" max="10" width="4.5703125" style="1" bestFit="1" customWidth="1"/>
    <col min="11" max="11" width="3.7109375" style="1" customWidth="1"/>
    <col min="12" max="14" width="11.7109375" style="1" customWidth="1"/>
    <col min="15" max="15" width="10.28515625" style="1" customWidth="1"/>
    <col min="16" max="18" width="7.7109375" style="1" customWidth="1"/>
    <col min="19" max="20" width="3.7109375" style="1" customWidth="1"/>
    <col min="21" max="21" width="5.7109375" style="1" customWidth="1"/>
    <col min="22" max="16384" width="9.140625" style="1"/>
  </cols>
  <sheetData>
    <row r="1" spans="2:20" ht="6.95" customHeight="1" x14ac:dyDescent="0.25"/>
    <row r="2" spans="2:20" ht="24.75" thickBot="1" x14ac:dyDescent="0.3">
      <c r="B2" s="3" t="s">
        <v>9</v>
      </c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20" ht="6.95" customHeight="1" x14ac:dyDescent="0.25"/>
    <row r="4" spans="2:20" ht="18.75" x14ac:dyDescent="0.25">
      <c r="B4" s="6" t="s">
        <v>10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0" ht="6.95" customHeight="1" x14ac:dyDescent="0.25"/>
    <row r="6" spans="2:20" ht="21" customHeight="1" x14ac:dyDescent="0.25">
      <c r="B6" s="9" t="s">
        <v>11</v>
      </c>
      <c r="C6" s="9" t="s">
        <v>12</v>
      </c>
      <c r="D6" s="9" t="s">
        <v>13</v>
      </c>
      <c r="E6" s="9" t="s">
        <v>14</v>
      </c>
      <c r="H6" s="10" t="s">
        <v>15</v>
      </c>
      <c r="I6" s="11" t="s">
        <v>16</v>
      </c>
      <c r="L6" s="12"/>
      <c r="M6" s="13"/>
      <c r="O6" s="66" t="s">
        <v>17</v>
      </c>
      <c r="P6" s="66"/>
      <c r="Q6" s="66"/>
      <c r="R6" s="66"/>
    </row>
    <row r="7" spans="2:20" ht="24" customHeight="1" x14ac:dyDescent="0.25">
      <c r="B7" s="1">
        <v>52000808</v>
      </c>
      <c r="C7" s="1" t="s">
        <v>18</v>
      </c>
      <c r="D7" s="14">
        <v>1.3958399999999999E-2</v>
      </c>
      <c r="E7" s="15">
        <f>+D7/$D$11</f>
        <v>0.55949751684497018</v>
      </c>
      <c r="H7" s="16" t="s">
        <v>19</v>
      </c>
      <c r="I7" s="17" t="s">
        <v>20</v>
      </c>
      <c r="L7" s="12"/>
      <c r="M7" s="13"/>
      <c r="O7" s="18" t="s">
        <v>21</v>
      </c>
      <c r="P7" s="18" t="s">
        <v>5</v>
      </c>
      <c r="Q7" s="18" t="s">
        <v>8</v>
      </c>
      <c r="R7" s="18" t="s">
        <v>2</v>
      </c>
    </row>
    <row r="8" spans="2:20" ht="24" customHeight="1" x14ac:dyDescent="0.25">
      <c r="B8" s="1">
        <v>52000813</v>
      </c>
      <c r="C8" s="1" t="s">
        <v>22</v>
      </c>
      <c r="D8" s="14">
        <v>5.0937999999999999E-3</v>
      </c>
      <c r="E8" s="15">
        <f>+D8/$D$11</f>
        <v>0.20417586910426047</v>
      </c>
      <c r="H8" s="16" t="s">
        <v>23</v>
      </c>
      <c r="I8" s="17" t="s">
        <v>24</v>
      </c>
      <c r="L8" s="12"/>
      <c r="M8" s="13"/>
      <c r="O8" s="67">
        <v>1.2</v>
      </c>
      <c r="P8" s="19">
        <f>+O8/SQRT(3)</f>
        <v>0.69282032302755092</v>
      </c>
      <c r="Q8" s="19">
        <f>+P8</f>
        <v>0.69282032302755092</v>
      </c>
      <c r="R8" s="19">
        <f>+Q8</f>
        <v>0.69282032302755092</v>
      </c>
    </row>
    <row r="9" spans="2:20" ht="24" customHeight="1" x14ac:dyDescent="0.25">
      <c r="B9" s="1">
        <v>52110699</v>
      </c>
      <c r="C9" s="1" t="s">
        <v>25</v>
      </c>
      <c r="D9" s="20">
        <v>5.8958999999999999E-3</v>
      </c>
      <c r="E9" s="21">
        <f>+D9/$D$11</f>
        <v>0.23632661405076941</v>
      </c>
      <c r="H9" s="16" t="s">
        <v>26</v>
      </c>
      <c r="I9" s="17" t="s">
        <v>27</v>
      </c>
      <c r="L9" s="12"/>
      <c r="M9" s="13"/>
      <c r="O9" s="68"/>
      <c r="P9" s="22">
        <f>+P8*-1</f>
        <v>-0.69282032302755092</v>
      </c>
      <c r="Q9" s="22">
        <f>+P9</f>
        <v>-0.69282032302755092</v>
      </c>
      <c r="R9" s="22">
        <f>+Q9</f>
        <v>-0.69282032302755092</v>
      </c>
    </row>
    <row r="10" spans="2:20" ht="6.95" customHeight="1" x14ac:dyDescent="0.25">
      <c r="D10" s="23"/>
      <c r="E10" s="24"/>
      <c r="H10" s="25"/>
      <c r="I10" s="26"/>
      <c r="L10" s="12"/>
      <c r="M10" s="13"/>
    </row>
    <row r="11" spans="2:20" ht="24" customHeight="1" x14ac:dyDescent="0.25">
      <c r="C11" s="12" t="s">
        <v>28</v>
      </c>
      <c r="D11" s="27">
        <f>SUM(D7:D9)</f>
        <v>2.4948099999999997E-2</v>
      </c>
      <c r="E11" s="28">
        <f>SUM(E7:E9)</f>
        <v>1</v>
      </c>
      <c r="H11" s="29" t="s">
        <v>29</v>
      </c>
      <c r="I11" s="30" t="s">
        <v>30</v>
      </c>
      <c r="L11" s="12"/>
      <c r="M11" s="13"/>
    </row>
    <row r="12" spans="2:20" ht="6.95" customHeight="1" x14ac:dyDescent="0.25"/>
    <row r="13" spans="2:20" ht="18.75" x14ac:dyDescent="0.25">
      <c r="B13" s="6" t="s">
        <v>31</v>
      </c>
      <c r="C13" s="7"/>
      <c r="D13" s="7"/>
      <c r="E13" s="7"/>
      <c r="F13" s="7"/>
      <c r="G13" s="7"/>
      <c r="H13" s="7"/>
      <c r="I13" s="7"/>
      <c r="J13" s="7"/>
      <c r="L13" s="6" t="s">
        <v>32</v>
      </c>
      <c r="M13" s="7"/>
      <c r="N13" s="7"/>
      <c r="O13" s="7"/>
      <c r="P13" s="7"/>
      <c r="Q13" s="7"/>
      <c r="R13" s="7"/>
      <c r="S13" s="7"/>
      <c r="T13" s="8"/>
    </row>
    <row r="14" spans="2:20" ht="6.95" customHeight="1" x14ac:dyDescent="0.25"/>
    <row r="15" spans="2:20" ht="15.75" x14ac:dyDescent="0.25">
      <c r="B15" s="31" t="s">
        <v>3</v>
      </c>
      <c r="C15" s="32" t="s">
        <v>5</v>
      </c>
      <c r="D15" s="32" t="s">
        <v>6</v>
      </c>
      <c r="E15" s="32" t="s">
        <v>7</v>
      </c>
      <c r="H15" s="32" t="s">
        <v>1</v>
      </c>
      <c r="I15" s="32" t="s">
        <v>2</v>
      </c>
      <c r="L15" s="33" t="s">
        <v>0</v>
      </c>
      <c r="M15" s="33" t="s">
        <v>1</v>
      </c>
      <c r="N15" s="33" t="s">
        <v>2</v>
      </c>
      <c r="O15" s="69" t="s">
        <v>33</v>
      </c>
      <c r="P15" s="69"/>
    </row>
    <row r="16" spans="2:20" ht="15.75" customHeight="1" x14ac:dyDescent="0.25">
      <c r="B16" s="1" t="s">
        <v>34</v>
      </c>
      <c r="C16" s="2">
        <v>47.19</v>
      </c>
      <c r="D16" s="2">
        <v>-7.26</v>
      </c>
      <c r="E16" s="2">
        <v>6.67</v>
      </c>
      <c r="H16" s="34">
        <f>SQRT(D16^2 + E16^2)</f>
        <v>9.8588285308143995</v>
      </c>
      <c r="I16" s="34">
        <f>MOD(DEGREES(ATAN2(D16, E16)),360)</f>
        <v>137.42529199615964</v>
      </c>
      <c r="L16" s="70">
        <f>C20/(2*L20)</f>
        <v>0.35546916060255679</v>
      </c>
      <c r="M16" s="70">
        <f>H20/(1*M20)</f>
        <v>1.9097043522295685E-4</v>
      </c>
      <c r="N16" s="70">
        <f>I20/O20</f>
        <v>-0.66185554204483898</v>
      </c>
      <c r="O16" s="71">
        <f>SQRT(L16^2+M16^2+N16^2)</f>
        <v>0.75127299907867118</v>
      </c>
      <c r="P16" s="71"/>
      <c r="Q16" s="72" t="str">
        <f>+B15</f>
        <v>D65</v>
      </c>
    </row>
    <row r="17" spans="2:17" x14ac:dyDescent="0.25">
      <c r="B17" s="1" t="s">
        <v>35</v>
      </c>
      <c r="C17" s="2">
        <v>47.94</v>
      </c>
      <c r="D17" s="2">
        <v>-6.83</v>
      </c>
      <c r="E17" s="2">
        <v>7.11</v>
      </c>
      <c r="H17" s="34">
        <f>SQRT(D17^2 + E17^2)</f>
        <v>9.8590567500141706</v>
      </c>
      <c r="I17" s="34">
        <f>MOD(DEGREES(ATAN2(D17, E17)),360)</f>
        <v>133.84930693757883</v>
      </c>
      <c r="L17" s="70"/>
      <c r="M17" s="70"/>
      <c r="N17" s="70"/>
      <c r="O17" s="71"/>
      <c r="P17" s="71"/>
      <c r="Q17" s="72"/>
    </row>
    <row r="18" spans="2:17" ht="6.95" customHeight="1" x14ac:dyDescent="0.25">
      <c r="L18" s="35"/>
      <c r="M18" s="35"/>
      <c r="N18" s="35"/>
    </row>
    <row r="19" spans="2:17" ht="18" customHeight="1" x14ac:dyDescent="0.25">
      <c r="B19" s="73" t="s">
        <v>36</v>
      </c>
      <c r="C19" s="36" t="s">
        <v>37</v>
      </c>
      <c r="D19" s="36" t="s">
        <v>38</v>
      </c>
      <c r="E19" s="36" t="s">
        <v>39</v>
      </c>
      <c r="H19" s="36" t="s">
        <v>40</v>
      </c>
      <c r="I19" s="36" t="s">
        <v>41</v>
      </c>
      <c r="L19" s="37" t="s">
        <v>42</v>
      </c>
      <c r="M19" s="37" t="s">
        <v>43</v>
      </c>
      <c r="N19" s="37" t="s">
        <v>44</v>
      </c>
      <c r="O19" s="37" t="s">
        <v>45</v>
      </c>
      <c r="P19" s="37" t="s">
        <v>46</v>
      </c>
      <c r="Q19" s="37" t="s">
        <v>47</v>
      </c>
    </row>
    <row r="20" spans="2:17" ht="24" customHeight="1" x14ac:dyDescent="0.25">
      <c r="B20" s="73"/>
      <c r="C20" s="38">
        <f>+C17-C16</f>
        <v>0.75</v>
      </c>
      <c r="D20" s="38">
        <f>+D17-D16</f>
        <v>0.42999999999999972</v>
      </c>
      <c r="E20" s="38">
        <f>+E17-E16</f>
        <v>0.44000000000000039</v>
      </c>
      <c r="H20" s="38">
        <f>+H17-H16</f>
        <v>2.2821919977111804E-4</v>
      </c>
      <c r="I20" s="38">
        <f>SIGN(D16*E17-E16*D17)*SQRT(D20^2+E20^2-H20^2)</f>
        <v>-0.61522349428154721</v>
      </c>
      <c r="L20" s="39">
        <f>IF(C16&lt;16,0.511,(0.040975*C16)/(1+0.01765*C16))</f>
        <v>1.054943836377638</v>
      </c>
      <c r="M20" s="39">
        <f>(0.0638*H16)/(1+0.0131*H16)+0.638</f>
        <v>1.1950499013351124</v>
      </c>
      <c r="N20" s="40">
        <f>MOD(DEGREES(ATAN2(D16, E16)),360)</f>
        <v>137.42529199615964</v>
      </c>
      <c r="O20" s="39">
        <f>M20*(Q20*P20+1-Q20)</f>
        <v>0.92954346560396017</v>
      </c>
      <c r="P20" s="39">
        <f>IF(AND(N20&gt;=164,N20&lt;=345),0.56+ABS(0.2*COS(RADIANS(N20+168))),0.36+ABS(0.4*COS(RADIANS(N20+35))))</f>
        <v>0.75650953017203015</v>
      </c>
      <c r="Q20" s="39">
        <f>SQRT((H16^4)/(H16^4+1900))</f>
        <v>0.91244573298614573</v>
      </c>
    </row>
    <row r="21" spans="2:17" ht="24" customHeight="1" x14ac:dyDescent="0.25">
      <c r="B21" s="73"/>
      <c r="C21" s="41" t="str">
        <f>+IF(C20&gt;0,C62,C63)</f>
        <v>Claro (Thin)</v>
      </c>
      <c r="D21" s="42" t="str">
        <f>+IF(D20&lt;0,C67,C68)</f>
        <v>Rojo</v>
      </c>
      <c r="E21" s="43" t="str">
        <f>+IF(E20&gt;0,C65,C66)</f>
        <v>Amarillo</v>
      </c>
      <c r="H21" s="44" t="str">
        <f>+IF(H20&gt;0,E63,E62)</f>
        <v>Brighter</v>
      </c>
      <c r="I21" s="1" t="s">
        <v>48</v>
      </c>
    </row>
    <row r="22" spans="2:17" ht="6.95" customHeight="1" x14ac:dyDescent="0.25"/>
    <row r="23" spans="2:17" ht="42" customHeight="1" x14ac:dyDescent="0.25">
      <c r="B23" s="74" t="s">
        <v>49</v>
      </c>
      <c r="C23" s="45" t="str">
        <f>+IF(C20&gt;0,D62,D63)</f>
        <v>Aumentar [ ]</v>
      </c>
      <c r="D23" s="46" t="str">
        <f>+IF(AND(C20&gt;0,D21=$C$67),$D$68,
IF(AND(C20&gt;0,D21=$C$68),$D$67,
IF(AND(C20&lt;0,D21=$C$67),$E$67,
IF(AND(C20&lt;0,D21=$C$68),$E$68,""))))</f>
        <v>Aumentar Verde</v>
      </c>
      <c r="E23" s="46" t="str">
        <f>+IF(AND(C20&gt;0,E21=$C$65),$D$66,
IF(AND(C20&gt;0,E21=$C$66),$D$65,
IF(AND(C20&lt;0,E21=$C$65),$E$65,
IF(AND(C20&lt;0,E21=$C$66),$E$66,""))))</f>
        <v>Aumentar Azul</v>
      </c>
      <c r="H23" s="46" t="str">
        <f>+_xlfn.XLOOKUP(H21,E62:E63,F62:F63,"")</f>
        <v>Duller</v>
      </c>
      <c r="I23" s="46" t="str">
        <f>+_xlfn.XLOOKUP(I21,C70:C78,D70:D78,"")</f>
        <v>Bluer (Greener)</v>
      </c>
      <c r="L23" s="76" t="str">
        <f>+IF(L35&gt;O25,"FALLA",IF(L35&gt;L25,"alerta","ok"))</f>
        <v>ok</v>
      </c>
      <c r="M23" s="77"/>
      <c r="N23" s="77"/>
      <c r="O23" s="77"/>
      <c r="P23" s="77"/>
      <c r="Q23" s="78"/>
    </row>
    <row r="24" spans="2:17" ht="15" customHeight="1" x14ac:dyDescent="0.25">
      <c r="B24" s="75"/>
      <c r="C24" s="48">
        <f>+ABS(C20)/C16</f>
        <v>1.5893197711379529E-2</v>
      </c>
      <c r="D24" s="48">
        <f>+ABS(D20)/ABS(D16)</f>
        <v>5.9228650137741007E-2</v>
      </c>
      <c r="E24" s="48">
        <f>+ABS(E20)/ABS(E16)</f>
        <v>6.5967016491754182E-2</v>
      </c>
      <c r="H24" s="48">
        <f>+ABS(H20)*0.1</f>
        <v>2.2821919977111805E-5</v>
      </c>
      <c r="I24" s="48">
        <f>+ABS(I20)*0.1</f>
        <v>6.1522349428154724E-2</v>
      </c>
      <c r="L24" s="79" t="s">
        <v>50</v>
      </c>
      <c r="M24" s="79"/>
      <c r="N24" s="79"/>
      <c r="O24" s="79"/>
      <c r="P24" s="79"/>
      <c r="Q24" s="79"/>
    </row>
    <row r="25" spans="2:17" x14ac:dyDescent="0.25">
      <c r="L25" s="80">
        <v>0.8</v>
      </c>
      <c r="M25" s="80"/>
      <c r="N25" s="80"/>
      <c r="O25" s="80">
        <v>1.2</v>
      </c>
      <c r="P25" s="80"/>
      <c r="Q25" s="80"/>
    </row>
    <row r="26" spans="2:17" ht="6.95" customHeight="1" x14ac:dyDescent="0.25">
      <c r="Q26" s="2"/>
    </row>
    <row r="27" spans="2:17" ht="15.75" x14ac:dyDescent="0.25">
      <c r="B27" s="31" t="s">
        <v>4</v>
      </c>
      <c r="C27" s="32" t="s">
        <v>5</v>
      </c>
      <c r="D27" s="32" t="s">
        <v>6</v>
      </c>
      <c r="E27" s="32" t="s">
        <v>7</v>
      </c>
      <c r="H27" s="32" t="s">
        <v>1</v>
      </c>
      <c r="I27" s="32" t="s">
        <v>2</v>
      </c>
      <c r="L27" s="33" t="s">
        <v>0</v>
      </c>
      <c r="M27" s="33" t="s">
        <v>1</v>
      </c>
      <c r="N27" s="33" t="s">
        <v>2</v>
      </c>
      <c r="O27" s="69" t="s">
        <v>33</v>
      </c>
      <c r="P27" s="69"/>
    </row>
    <row r="28" spans="2:17" ht="15" customHeight="1" x14ac:dyDescent="0.25">
      <c r="B28" s="1" t="s">
        <v>34</v>
      </c>
      <c r="C28" s="2">
        <v>46.8</v>
      </c>
      <c r="D28" s="2">
        <v>-7.62</v>
      </c>
      <c r="E28" s="2">
        <v>6.31</v>
      </c>
      <c r="H28" s="34">
        <f>SQRT(D28^2 + E28^2)</f>
        <v>9.893457434082384</v>
      </c>
      <c r="I28" s="34">
        <f>MOD(DEGREES(ATAN2(D28, E28)),360)</f>
        <v>140.37238856690334</v>
      </c>
      <c r="L28" s="70">
        <f>C32/(2*L32)</f>
        <v>0.51896398158143286</v>
      </c>
      <c r="M28" s="70">
        <f>H32/(1*M32)</f>
        <v>-1.4856708744546322E-2</v>
      </c>
      <c r="N28" s="70">
        <f>I32/O32</f>
        <v>-1.3112410815593687</v>
      </c>
      <c r="O28" s="71">
        <f>SQRT(L28^2+M28^2+N28^2)</f>
        <v>1.4102827765886377</v>
      </c>
      <c r="P28" s="71"/>
      <c r="Q28" s="72" t="str">
        <f>+B27</f>
        <v>TL84</v>
      </c>
    </row>
    <row r="29" spans="2:17" ht="15" customHeight="1" x14ac:dyDescent="0.25">
      <c r="B29" s="1" t="s">
        <v>35</v>
      </c>
      <c r="C29" s="2">
        <v>47.89</v>
      </c>
      <c r="D29" s="2">
        <v>-6.77</v>
      </c>
      <c r="E29" s="2">
        <v>7.19</v>
      </c>
      <c r="H29" s="34">
        <f>SQRT(D29^2 + E29^2)</f>
        <v>9.875677191970178</v>
      </c>
      <c r="I29" s="34">
        <f>MOD(DEGREES(ATAN2(D29, E29)),360)</f>
        <v>133.2767213010336</v>
      </c>
      <c r="L29" s="70"/>
      <c r="M29" s="70"/>
      <c r="N29" s="70"/>
      <c r="O29" s="71"/>
      <c r="P29" s="71"/>
      <c r="Q29" s="72"/>
    </row>
    <row r="30" spans="2:17" x14ac:dyDescent="0.25">
      <c r="L30" s="35"/>
      <c r="M30" s="35"/>
      <c r="N30" s="35"/>
    </row>
    <row r="31" spans="2:17" ht="18" customHeight="1" x14ac:dyDescent="0.25">
      <c r="B31" s="73" t="s">
        <v>36</v>
      </c>
      <c r="C31" s="36" t="s">
        <v>37</v>
      </c>
      <c r="D31" s="36" t="s">
        <v>38</v>
      </c>
      <c r="E31" s="36" t="s">
        <v>39</v>
      </c>
      <c r="H31" s="36" t="s">
        <v>40</v>
      </c>
      <c r="I31" s="36" t="s">
        <v>41</v>
      </c>
      <c r="L31" s="37" t="s">
        <v>42</v>
      </c>
      <c r="M31" s="37" t="s">
        <v>43</v>
      </c>
      <c r="N31" s="37" t="s">
        <v>44</v>
      </c>
      <c r="O31" s="37" t="s">
        <v>45</v>
      </c>
      <c r="P31" s="37" t="s">
        <v>46</v>
      </c>
      <c r="Q31" s="37" t="s">
        <v>47</v>
      </c>
    </row>
    <row r="32" spans="2:17" ht="24" customHeight="1" x14ac:dyDescent="0.25">
      <c r="B32" s="73"/>
      <c r="C32" s="38">
        <f>+C29-C28</f>
        <v>1.0900000000000034</v>
      </c>
      <c r="D32" s="38">
        <f>+D29-D28</f>
        <v>0.85000000000000053</v>
      </c>
      <c r="E32" s="38">
        <f>+E29-E28</f>
        <v>0.88000000000000078</v>
      </c>
      <c r="H32" s="38">
        <f>+H29-H28</f>
        <v>-1.7780242112205968E-2</v>
      </c>
      <c r="I32" s="38">
        <f>SIGN(D28*E29-E28*D29)*SQRT(D32^2+E32^2-H32^2)</f>
        <v>-1.2233494443495831</v>
      </c>
      <c r="L32" s="39">
        <f>IF(C28&lt;16,0.511,(0.040975*C28)/(1+0.01765*C28))</f>
        <v>1.0501692204904656</v>
      </c>
      <c r="M32" s="39">
        <f>(0.0638*H28)/(1+0.0131*H28)+0.638</f>
        <v>1.1967820341590012</v>
      </c>
      <c r="N32" s="40">
        <f>MOD(DEGREES(ATAN2(D28, E28)),360)</f>
        <v>140.37238856690334</v>
      </c>
      <c r="O32" s="39">
        <f>M32*(Q32*P32+1-Q32)</f>
        <v>0.93297065013760705</v>
      </c>
      <c r="P32" s="39">
        <f>IF(AND(N32&gt;=164,N32&lt;=345),0.56+ABS(0.2*COS(RADIANS(N32+168))),0.36+ABS(0.4*COS(RADIANS(N32+35))))</f>
        <v>0.75869604560629889</v>
      </c>
      <c r="Q32" s="39">
        <f>SQRT((H28^4)/(H28^4+1900))</f>
        <v>0.91351152805164915</v>
      </c>
    </row>
    <row r="33" spans="2:17" ht="24" customHeight="1" x14ac:dyDescent="0.25">
      <c r="B33" s="73"/>
      <c r="C33" s="44" t="str">
        <f>+IF(C32&gt;0,C62,C63)</f>
        <v>Claro (Thin)</v>
      </c>
      <c r="D33" s="49" t="str">
        <f>+IF(D32&lt;0,C67,C68)</f>
        <v>Rojo</v>
      </c>
      <c r="E33" s="50" t="str">
        <f>+IF(E32&gt;0,C65,C66)</f>
        <v>Amarillo</v>
      </c>
      <c r="H33" s="44" t="str">
        <f>+IF(H32&gt;0,E63,E62)</f>
        <v>Duller</v>
      </c>
      <c r="I33" s="1" t="str">
        <f>+I21</f>
        <v>Yellower (Redder)</v>
      </c>
    </row>
    <row r="35" spans="2:17" ht="42" customHeight="1" x14ac:dyDescent="0.25">
      <c r="B35" s="74" t="s">
        <v>49</v>
      </c>
      <c r="C35" s="45" t="str">
        <f>+IF(C32&gt;0,D62,D63)</f>
        <v>Aumentar [ ]</v>
      </c>
      <c r="D35" s="46" t="str">
        <f>+IF(AND(C32&gt;0,D33=$C$67),$D$68,
IF(AND(C32&gt;0,D33=$C$68),$D$67,
IF(AND(C32&lt;0,D33=$C$67),$E$67,
IF(AND(C32&lt;0,D33=$C$68),$E$68,""))))</f>
        <v>Aumentar Verde</v>
      </c>
      <c r="E35" s="46" t="str">
        <f>+IF(AND(C32&gt;0,E33=$C$65),$D$66,
IF(AND(C32&gt;0,E33=$C$66),$D$65,
IF(AND(C32&lt;0,E33=$C$65),$E$65,
IF(AND(C32&lt;0,E33=$C$66),$E$66,""))))</f>
        <v>Aumentar Azul</v>
      </c>
      <c r="H35" s="46" t="str">
        <f>+_xlfn.XLOOKUP(H33,E62:E63,F62:F63,"")</f>
        <v>Brighter</v>
      </c>
      <c r="I35" s="46" t="str">
        <f>+_xlfn.XLOOKUP(I33,C70:C78,D70:D78,"")</f>
        <v>Bluer (Greener)</v>
      </c>
      <c r="L35" s="81">
        <f>+ABS(O16-O28)</f>
        <v>0.65900977750996648</v>
      </c>
      <c r="M35" s="82"/>
      <c r="N35" s="82"/>
      <c r="O35" s="82"/>
      <c r="P35" s="82"/>
      <c r="Q35" s="83"/>
    </row>
    <row r="36" spans="2:17" x14ac:dyDescent="0.25">
      <c r="B36" s="75"/>
      <c r="C36" s="48">
        <f>+ABS(C32)/C28</f>
        <v>2.3290598290598364E-2</v>
      </c>
      <c r="D36" s="48">
        <f>+ABS(D32)/ABS(D28)</f>
        <v>0.11154855643044627</v>
      </c>
      <c r="E36" s="48">
        <f>+ABS(E32)/ABS(E28)</f>
        <v>0.13946117274168002</v>
      </c>
      <c r="H36" s="48">
        <f>+ABS(H32)*0.1</f>
        <v>1.778024211220597E-3</v>
      </c>
      <c r="I36" s="48">
        <f>+ABS(I32)*0.1</f>
        <v>0.12233494443495832</v>
      </c>
      <c r="L36" s="84"/>
      <c r="M36" s="85"/>
      <c r="N36" s="85"/>
      <c r="O36" s="85"/>
      <c r="P36" s="85"/>
      <c r="Q36" s="86"/>
    </row>
    <row r="38" spans="2:17" ht="6.95" customHeight="1" x14ac:dyDescent="0.25">
      <c r="Q38" s="2"/>
    </row>
    <row r="39" spans="2:17" ht="15.75" x14ac:dyDescent="0.25">
      <c r="B39" s="31" t="s">
        <v>51</v>
      </c>
      <c r="C39" s="32" t="s">
        <v>5</v>
      </c>
      <c r="D39" s="32" t="s">
        <v>6</v>
      </c>
      <c r="E39" s="32" t="s">
        <v>7</v>
      </c>
      <c r="H39" s="32" t="s">
        <v>1</v>
      </c>
      <c r="I39" s="32" t="s">
        <v>2</v>
      </c>
      <c r="L39" s="33" t="s">
        <v>0</v>
      </c>
      <c r="M39" s="33" t="s">
        <v>1</v>
      </c>
      <c r="N39" s="33" t="s">
        <v>2</v>
      </c>
      <c r="O39" s="69" t="s">
        <v>33</v>
      </c>
      <c r="P39" s="69"/>
    </row>
    <row r="40" spans="2:17" x14ac:dyDescent="0.25">
      <c r="B40" s="1" t="s">
        <v>34</v>
      </c>
      <c r="C40" s="2">
        <v>46.37</v>
      </c>
      <c r="D40" s="2">
        <v>-6.45</v>
      </c>
      <c r="E40" s="2">
        <v>5.59</v>
      </c>
      <c r="H40" s="34">
        <f>SQRT(D40^2 + E40^2)</f>
        <v>8.5352562937500593</v>
      </c>
      <c r="I40" s="34">
        <f>MOD(DEGREES(ATAN2(D40, E40)),360)</f>
        <v>139.08561677997488</v>
      </c>
      <c r="L40" s="70">
        <f>C44/(2*L44)</f>
        <v>0.62209112501074215</v>
      </c>
      <c r="M40" s="70">
        <f>H44/(1*M44)</f>
        <v>0.28079926627754348</v>
      </c>
      <c r="N40" s="70">
        <f>I44/O44</f>
        <v>-1.7815064743433757</v>
      </c>
      <c r="O40" s="71">
        <f>SQRT(L40^2+M40^2+N40^2)</f>
        <v>1.9077764318406134</v>
      </c>
      <c r="P40" s="71"/>
      <c r="Q40" s="72" t="str">
        <f>+B39</f>
        <v>CWF</v>
      </c>
    </row>
    <row r="41" spans="2:17" x14ac:dyDescent="0.25">
      <c r="B41" s="1" t="s">
        <v>35</v>
      </c>
      <c r="C41" s="2">
        <v>47.67</v>
      </c>
      <c r="D41" s="2">
        <v>-5.52</v>
      </c>
      <c r="E41" s="2">
        <v>6.92</v>
      </c>
      <c r="H41" s="34">
        <f>SQRT(D41^2 + E41^2)</f>
        <v>8.8519376409913768</v>
      </c>
      <c r="I41" s="34">
        <f>MOD(DEGREES(ATAN2(D41, E41)),360)</f>
        <v>128.57893917650927</v>
      </c>
      <c r="L41" s="70"/>
      <c r="M41" s="70"/>
      <c r="N41" s="70"/>
      <c r="O41" s="71"/>
      <c r="P41" s="71"/>
      <c r="Q41" s="72"/>
    </row>
    <row r="42" spans="2:17" x14ac:dyDescent="0.25">
      <c r="L42" s="35"/>
      <c r="M42" s="35"/>
      <c r="N42" s="35"/>
    </row>
    <row r="43" spans="2:17" ht="18" customHeight="1" x14ac:dyDescent="0.25">
      <c r="B43" s="73" t="s">
        <v>36</v>
      </c>
      <c r="C43" s="36" t="s">
        <v>37</v>
      </c>
      <c r="D43" s="36" t="s">
        <v>38</v>
      </c>
      <c r="E43" s="36" t="s">
        <v>39</v>
      </c>
      <c r="H43" s="36" t="s">
        <v>40</v>
      </c>
      <c r="I43" s="36" t="s">
        <v>41</v>
      </c>
      <c r="L43" s="37" t="s">
        <v>42</v>
      </c>
      <c r="M43" s="37" t="s">
        <v>43</v>
      </c>
      <c r="N43" s="37" t="s">
        <v>44</v>
      </c>
      <c r="O43" s="37" t="s">
        <v>45</v>
      </c>
      <c r="P43" s="37" t="s">
        <v>46</v>
      </c>
      <c r="Q43" s="37" t="s">
        <v>47</v>
      </c>
    </row>
    <row r="44" spans="2:17" ht="24" customHeight="1" x14ac:dyDescent="0.25">
      <c r="B44" s="73"/>
      <c r="C44" s="38">
        <f>+C41-C40</f>
        <v>1.3000000000000043</v>
      </c>
      <c r="D44" s="38">
        <f>+D41-D40</f>
        <v>0.9300000000000006</v>
      </c>
      <c r="E44" s="38">
        <f>+E41-E40</f>
        <v>1.33</v>
      </c>
      <c r="H44" s="38">
        <f>+H41-H40</f>
        <v>0.31668134724131747</v>
      </c>
      <c r="I44" s="38">
        <f>SIGN(D40*E41-E40*D41)*SQRT(D44^2+E44^2-H44^2)</f>
        <v>-1.5917012672952879</v>
      </c>
      <c r="L44" s="39">
        <f>IF(C40&lt;16,0.511,(0.040975*C40)/(1+0.01765*C40))</f>
        <v>1.0448630013629885</v>
      </c>
      <c r="M44" s="39">
        <f>(0.0638*H40)/(1+0.0131*H40)+0.638</f>
        <v>1.1277855225173843</v>
      </c>
      <c r="N44" s="40">
        <f>MOD(DEGREES(ATAN2(D40, E40)),360)</f>
        <v>139.08561677997488</v>
      </c>
      <c r="O44" s="39">
        <f>M44*(Q44*P44+1-Q44)</f>
        <v>0.89345803128891477</v>
      </c>
      <c r="P44" s="39">
        <f>IF(AND(N44&gt;=164,N44&lt;=345),0.56+ABS(0.2*COS(RADIANS(N44+168))),0.36+ABS(0.4*COS(RADIANS(N44+35))))</f>
        <v>0.75787079251893197</v>
      </c>
      <c r="Q44" s="39">
        <f>SQRT((H40^4)/(H40^4+1900))</f>
        <v>0.85812300938826991</v>
      </c>
    </row>
    <row r="45" spans="2:17" ht="24" customHeight="1" x14ac:dyDescent="0.25">
      <c r="B45" s="73"/>
      <c r="C45" s="44" t="str">
        <f>+IF(C44&gt;0,C62,C63)</f>
        <v>Claro (Thin)</v>
      </c>
      <c r="D45" s="49" t="str">
        <f>+IF(D44&lt;0,C67,C68)</f>
        <v>Rojo</v>
      </c>
      <c r="E45" s="50" t="str">
        <f>+IF(E32&gt;0,C65,C66)</f>
        <v>Amarillo</v>
      </c>
      <c r="H45" s="44" t="str">
        <f>+IF(H44&gt;0,E63,E62)</f>
        <v>Brighter</v>
      </c>
      <c r="I45" s="1" t="str">
        <f>+I33</f>
        <v>Yellower (Redder)</v>
      </c>
    </row>
    <row r="47" spans="2:17" ht="42" customHeight="1" x14ac:dyDescent="0.25">
      <c r="B47" s="74" t="s">
        <v>49</v>
      </c>
      <c r="C47" s="45" t="str">
        <f>+IF(C44&gt;0,D62,D63)</f>
        <v>Aumentar [ ]</v>
      </c>
      <c r="D47" s="46" t="str">
        <f>+IF(AND(C44&gt;0,D45=$C$67),$D$68,
IF(AND(C44&gt;0,D45=$C$68),$D$67,
IF(AND(C44&lt;0,D45=$C$67),$E$67,
IF(AND(C44&lt;0,D45=$C$68),$E$68,""))))</f>
        <v>Aumentar Verde</v>
      </c>
      <c r="E47" s="46" t="str">
        <f>+IF(AND(C44&gt;0,E45=$C$65),$D$66,
IF(AND(C44&gt;0,E45=$C$66),$D$65,
IF(AND(C44&lt;0,E45=$C$65),$E$65,
IF(AND(C44&lt;0,E45=$C$66),$E$66,""))))</f>
        <v>Aumentar Azul</v>
      </c>
      <c r="H47" s="46" t="str">
        <f>+_xlfn.XLOOKUP(H45,E62:E63,F62:F63,"")</f>
        <v>Duller</v>
      </c>
      <c r="I47" s="46" t="str">
        <f>+_xlfn.XLOOKUP(I45,C70:C78,D70:D78,"")</f>
        <v>Bluer (Greener)</v>
      </c>
    </row>
    <row r="48" spans="2:17" x14ac:dyDescent="0.25">
      <c r="B48" s="75"/>
      <c r="C48" s="48">
        <f>+ABS(C44)/C40</f>
        <v>2.8035367694630241E-2</v>
      </c>
      <c r="D48" s="48">
        <f>+ABS(D44)/ABS(D40)</f>
        <v>0.144186046511628</v>
      </c>
      <c r="E48" s="48">
        <f>+ABS(E44)/ABS(E40)</f>
        <v>0.23792486583184261</v>
      </c>
      <c r="H48" s="48">
        <f>+ABS(H44)*0.1</f>
        <v>3.1668134724131748E-2</v>
      </c>
      <c r="I48" s="48">
        <f>+ABS(I44)*0.1</f>
        <v>0.15917012672952879</v>
      </c>
    </row>
    <row r="49" spans="2:14" ht="6.95" customHeight="1" x14ac:dyDescent="0.25"/>
    <row r="50" spans="2:14" ht="18.75" x14ac:dyDescent="0.25">
      <c r="B50" s="6" t="s">
        <v>52</v>
      </c>
      <c r="C50" s="7"/>
      <c r="D50" s="7"/>
      <c r="E50" s="7"/>
    </row>
    <row r="52" spans="2:14" x14ac:dyDescent="0.25">
      <c r="B52" s="47" t="s">
        <v>11</v>
      </c>
      <c r="C52" s="47" t="s">
        <v>12</v>
      </c>
      <c r="D52" s="47" t="s">
        <v>13</v>
      </c>
      <c r="E52" s="47" t="s">
        <v>14</v>
      </c>
      <c r="H52" s="47" t="s">
        <v>53</v>
      </c>
      <c r="I52" s="47" t="s">
        <v>54</v>
      </c>
      <c r="L52" s="47" t="str">
        <f>+H52</f>
        <v>[ Dye ]</v>
      </c>
      <c r="M52" s="47" t="str">
        <f>+I52</f>
        <v>Prop., %</v>
      </c>
    </row>
    <row r="53" spans="2:14" ht="15.75" x14ac:dyDescent="0.25">
      <c r="B53" s="1">
        <v>52000808</v>
      </c>
      <c r="C53" s="1" t="s">
        <v>18</v>
      </c>
      <c r="D53" s="51">
        <f>+IF($C$20&gt;0,ROUNDUP(D7*(1+$C$24),4),ROUNDUP(D7*(1-$C$24),4))</f>
        <v>1.4199999999999999E-2</v>
      </c>
      <c r="E53" s="15">
        <f>+D53/D57</f>
        <v>0.55905511811023623</v>
      </c>
      <c r="F53" s="52">
        <f>+D53/D7-1</f>
        <v>1.7308574048601644E-2</v>
      </c>
      <c r="H53" s="51">
        <f>+IF($C$20&gt;0,ROUNDUP(D7*(1+$I$24),4),ROUNDUP(D7*(1-$I$24),4))</f>
        <v>1.49E-2</v>
      </c>
      <c r="I53" s="15">
        <f>+H53/H57</f>
        <v>0.56439393939393945</v>
      </c>
      <c r="J53" s="52">
        <f>+H53/D7-1</f>
        <v>6.7457588262265E-2</v>
      </c>
      <c r="L53" s="51">
        <f>+IF($C$20&gt;0,ROUNDUP(D7*(1+$C$24),4),ROUNDUP(D7*(1-$C$24),4))</f>
        <v>1.4199999999999999E-2</v>
      </c>
      <c r="M53" s="15">
        <f>+L53/L57</f>
        <v>0.5546875</v>
      </c>
      <c r="N53" s="52">
        <f>+L53/D7-1</f>
        <v>1.7308574048601644E-2</v>
      </c>
    </row>
    <row r="54" spans="2:14" ht="15.75" x14ac:dyDescent="0.25">
      <c r="B54" s="1">
        <v>52000810</v>
      </c>
      <c r="C54" s="1" t="s">
        <v>55</v>
      </c>
      <c r="D54" s="51">
        <f>+IF($C$20&gt;0,ROUNDUP(D8*(1+$C$24),4),ROUNDUP(D8*(1-$C$24),4))</f>
        <v>5.2000000000000006E-3</v>
      </c>
      <c r="E54" s="15">
        <f>+D54/D57</f>
        <v>0.20472440944881892</v>
      </c>
      <c r="F54" s="52">
        <f>+D54/D8-1</f>
        <v>2.0848875103066655E-2</v>
      </c>
      <c r="H54" s="51">
        <f>+IF($C$20&gt;0,ROUNDUP(D8*(1+$C$24),4),ROUNDUP(D8*(1-$C$24),4))</f>
        <v>5.2000000000000006E-3</v>
      </c>
      <c r="I54" s="15">
        <f>+H54/H57</f>
        <v>0.19696969696969699</v>
      </c>
      <c r="J54" s="52">
        <f>+H54/D8-1</f>
        <v>2.0848875103066655E-2</v>
      </c>
      <c r="L54" s="51">
        <f>+IF($C$20&gt;0,ROUNDUP(D8*(1+$D$24),4),ROUNDUP(D8*(1-$D$24),4))</f>
        <v>5.4000000000000003E-3</v>
      </c>
      <c r="M54" s="15">
        <f>+L54/L57</f>
        <v>0.21093750000000003</v>
      </c>
      <c r="N54" s="52">
        <f>+L54/D8-1</f>
        <v>6.011229337626145E-2</v>
      </c>
    </row>
    <row r="55" spans="2:14" ht="15.75" x14ac:dyDescent="0.25">
      <c r="B55" s="1">
        <v>52110699</v>
      </c>
      <c r="C55" s="1" t="s">
        <v>25</v>
      </c>
      <c r="D55" s="53">
        <f>+IF($C$20&gt;0,ROUNDUP(D9*(1+$C$24),4),ROUNDUP(D9*(1-$C$24),4))</f>
        <v>6.0000000000000001E-3</v>
      </c>
      <c r="E55" s="21">
        <f>+D55/D57</f>
        <v>0.23622047244094491</v>
      </c>
      <c r="F55" s="52">
        <f>+D55/D9-1</f>
        <v>1.765633745484152E-2</v>
      </c>
      <c r="H55" s="53">
        <f>+IF($C$20&gt;0,ROUNDUP(D9*(1+$D$24),4),ROUNDUP(D9*(1-$D$24),4))</f>
        <v>6.3E-3</v>
      </c>
      <c r="I55" s="21">
        <f>+H55/H57</f>
        <v>0.23863636363636365</v>
      </c>
      <c r="J55" s="52">
        <f>+H55/D9-1</f>
        <v>6.8539154327583507E-2</v>
      </c>
      <c r="L55" s="53">
        <f>+IF($C$20&gt;0,ROUNDUP(D9*(1+$C$24),4),ROUNDUP(D9*(1-$C$24),4))</f>
        <v>6.0000000000000001E-3</v>
      </c>
      <c r="M55" s="21">
        <f>+L55/L57</f>
        <v>0.23437500000000003</v>
      </c>
      <c r="N55" s="52">
        <f>+L55/D9-1</f>
        <v>1.765633745484152E-2</v>
      </c>
    </row>
    <row r="56" spans="2:14" ht="6.95" customHeight="1" x14ac:dyDescent="0.25">
      <c r="D56" s="23"/>
      <c r="E56" s="24"/>
      <c r="H56" s="23"/>
      <c r="I56" s="24"/>
      <c r="L56" s="23"/>
      <c r="M56" s="24"/>
    </row>
    <row r="57" spans="2:14" ht="15.75" x14ac:dyDescent="0.25">
      <c r="C57" s="12" t="s">
        <v>28</v>
      </c>
      <c r="D57" s="27">
        <f>SUM(D53:D55)</f>
        <v>2.5399999999999999E-2</v>
      </c>
      <c r="E57" s="28">
        <f>SUM(E53:E55)</f>
        <v>1</v>
      </c>
      <c r="H57" s="27">
        <f>SUM(H53:H55)</f>
        <v>2.64E-2</v>
      </c>
      <c r="I57" s="28">
        <f>SUM(I53:I55)</f>
        <v>1</v>
      </c>
      <c r="L57" s="27">
        <f>SUM(L53:L55)</f>
        <v>2.5599999999999998E-2</v>
      </c>
      <c r="M57" s="28">
        <f>SUM(M53:M55)</f>
        <v>1</v>
      </c>
    </row>
    <row r="58" spans="2:14" x14ac:dyDescent="0.25">
      <c r="D58" s="28">
        <f>+D57/D11-1</f>
        <v>1.8113603841575232E-2</v>
      </c>
      <c r="H58" s="28">
        <f>+H57/D11-1</f>
        <v>5.8196816591243428E-2</v>
      </c>
      <c r="L58" s="28">
        <f>+L57/D11-1</f>
        <v>2.6130246391508738E-2</v>
      </c>
    </row>
    <row r="59" spans="2:14" ht="6.95" customHeight="1" x14ac:dyDescent="0.25"/>
    <row r="60" spans="2:14" ht="18.75" x14ac:dyDescent="0.25">
      <c r="B60" s="54" t="s">
        <v>56</v>
      </c>
      <c r="C60" s="7"/>
      <c r="D60" s="7"/>
      <c r="E60" s="7"/>
      <c r="F60" s="7"/>
      <c r="G60" s="7"/>
      <c r="H60" s="7"/>
      <c r="J60" s="54" t="s">
        <v>57</v>
      </c>
      <c r="K60" s="7"/>
    </row>
    <row r="61" spans="2:14" ht="6.95" customHeight="1" x14ac:dyDescent="0.25"/>
    <row r="62" spans="2:14" x14ac:dyDescent="0.25">
      <c r="C62" s="55" t="s">
        <v>58</v>
      </c>
      <c r="D62" s="56" t="s">
        <v>59</v>
      </c>
      <c r="E62" s="56" t="s">
        <v>60</v>
      </c>
      <c r="F62" s="87" t="s">
        <v>61</v>
      </c>
      <c r="G62" s="87"/>
      <c r="H62" s="55">
        <v>100</v>
      </c>
    </row>
    <row r="63" spans="2:14" x14ac:dyDescent="0.25">
      <c r="C63" s="57" t="s">
        <v>62</v>
      </c>
      <c r="D63" s="56" t="s">
        <v>63</v>
      </c>
      <c r="E63" s="56" t="s">
        <v>61</v>
      </c>
      <c r="F63" s="87" t="s">
        <v>60</v>
      </c>
      <c r="G63" s="87"/>
      <c r="H63" s="57">
        <v>0</v>
      </c>
    </row>
    <row r="65" spans="3:10" x14ac:dyDescent="0.25">
      <c r="C65" s="58" t="s">
        <v>64</v>
      </c>
      <c r="D65" s="56" t="s">
        <v>65</v>
      </c>
      <c r="E65" s="56" t="s">
        <v>66</v>
      </c>
      <c r="J65" s="2"/>
    </row>
    <row r="66" spans="3:10" x14ac:dyDescent="0.25">
      <c r="C66" s="59" t="s">
        <v>67</v>
      </c>
      <c r="D66" s="56" t="s">
        <v>68</v>
      </c>
      <c r="E66" s="56" t="s">
        <v>69</v>
      </c>
      <c r="J66" s="2"/>
    </row>
    <row r="67" spans="3:10" x14ac:dyDescent="0.25">
      <c r="C67" s="60" t="s">
        <v>70</v>
      </c>
      <c r="D67" s="56" t="s">
        <v>71</v>
      </c>
      <c r="E67" s="56" t="s">
        <v>72</v>
      </c>
      <c r="J67" s="2"/>
    </row>
    <row r="68" spans="3:10" x14ac:dyDescent="0.25">
      <c r="C68" s="61" t="s">
        <v>73</v>
      </c>
      <c r="D68" s="56" t="s">
        <v>74</v>
      </c>
      <c r="E68" s="56" t="s">
        <v>75</v>
      </c>
      <c r="J68" s="2"/>
    </row>
    <row r="69" spans="3:10" x14ac:dyDescent="0.25">
      <c r="J69" s="2"/>
    </row>
    <row r="70" spans="3:10" x14ac:dyDescent="0.25">
      <c r="C70" s="62" t="s">
        <v>76</v>
      </c>
      <c r="D70" s="62" t="s">
        <v>77</v>
      </c>
      <c r="E70"/>
      <c r="J70" s="63"/>
    </row>
    <row r="71" spans="3:10" x14ac:dyDescent="0.25">
      <c r="C71" s="62" t="s">
        <v>48</v>
      </c>
      <c r="D71" s="62" t="s">
        <v>78</v>
      </c>
      <c r="E71"/>
      <c r="J71" s="63"/>
    </row>
    <row r="72" spans="3:10" x14ac:dyDescent="0.25">
      <c r="C72" s="62" t="s">
        <v>79</v>
      </c>
      <c r="D72" s="62" t="s">
        <v>80</v>
      </c>
      <c r="E72"/>
      <c r="J72" s="2"/>
    </row>
    <row r="73" spans="3:10" x14ac:dyDescent="0.25">
      <c r="C73" s="62" t="s">
        <v>81</v>
      </c>
      <c r="D73" s="62" t="s">
        <v>82</v>
      </c>
      <c r="E73"/>
      <c r="J73" s="63"/>
    </row>
    <row r="74" spans="3:10" ht="6.95" customHeight="1" x14ac:dyDescent="0.25">
      <c r="E74"/>
      <c r="J74" s="63"/>
    </row>
    <row r="75" spans="3:10" x14ac:dyDescent="0.25">
      <c r="C75" s="62" t="s">
        <v>77</v>
      </c>
      <c r="D75" s="62" t="s">
        <v>76</v>
      </c>
      <c r="J75" s="63"/>
    </row>
    <row r="76" spans="3:10" x14ac:dyDescent="0.25">
      <c r="C76" s="62" t="s">
        <v>78</v>
      </c>
      <c r="D76" s="62" t="s">
        <v>48</v>
      </c>
      <c r="E76"/>
    </row>
    <row r="77" spans="3:10" x14ac:dyDescent="0.25">
      <c r="C77" s="62" t="s">
        <v>80</v>
      </c>
      <c r="D77" s="62" t="s">
        <v>79</v>
      </c>
      <c r="E77"/>
    </row>
    <row r="78" spans="3:10" x14ac:dyDescent="0.25">
      <c r="C78" s="62" t="s">
        <v>82</v>
      </c>
      <c r="D78" s="62" t="s">
        <v>81</v>
      </c>
      <c r="E78"/>
    </row>
    <row r="79" spans="3:10" x14ac:dyDescent="0.25">
      <c r="E79"/>
    </row>
    <row r="80" spans="3:10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  <row r="111" spans="5:5" x14ac:dyDescent="0.25">
      <c r="E111"/>
    </row>
    <row r="112" spans="5:5" x14ac:dyDescent="0.25">
      <c r="E112"/>
    </row>
    <row r="113" spans="5:5" x14ac:dyDescent="0.25">
      <c r="E113"/>
    </row>
    <row r="114" spans="5:5" x14ac:dyDescent="0.25">
      <c r="E114"/>
    </row>
    <row r="115" spans="5:5" x14ac:dyDescent="0.25">
      <c r="E115"/>
    </row>
    <row r="116" spans="5:5" x14ac:dyDescent="0.25">
      <c r="E116"/>
    </row>
    <row r="117" spans="5:5" x14ac:dyDescent="0.25">
      <c r="E117"/>
    </row>
    <row r="118" spans="5:5" x14ac:dyDescent="0.25">
      <c r="E118"/>
    </row>
    <row r="119" spans="5:5" x14ac:dyDescent="0.25">
      <c r="E119"/>
    </row>
    <row r="120" spans="5:5" x14ac:dyDescent="0.25">
      <c r="E120"/>
    </row>
    <row r="121" spans="5:5" x14ac:dyDescent="0.25">
      <c r="E121"/>
    </row>
    <row r="122" spans="5:5" x14ac:dyDescent="0.25">
      <c r="E122"/>
    </row>
    <row r="123" spans="5:5" x14ac:dyDescent="0.25">
      <c r="E123"/>
    </row>
    <row r="124" spans="5:5" x14ac:dyDescent="0.25">
      <c r="E124"/>
    </row>
    <row r="125" spans="5:5" x14ac:dyDescent="0.25">
      <c r="E125"/>
    </row>
    <row r="126" spans="5:5" x14ac:dyDescent="0.25">
      <c r="E126"/>
    </row>
    <row r="127" spans="5:5" x14ac:dyDescent="0.25">
      <c r="E127"/>
    </row>
    <row r="128" spans="5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</sheetData>
  <mergeCells count="33">
    <mergeCell ref="B43:B45"/>
    <mergeCell ref="B47:B48"/>
    <mergeCell ref="F62:G62"/>
    <mergeCell ref="F63:G63"/>
    <mergeCell ref="B31:B33"/>
    <mergeCell ref="B35:B36"/>
    <mergeCell ref="L35:Q36"/>
    <mergeCell ref="O39:P39"/>
    <mergeCell ref="L40:L41"/>
    <mergeCell ref="M40:M41"/>
    <mergeCell ref="N40:N41"/>
    <mergeCell ref="O40:P41"/>
    <mergeCell ref="Q40:Q41"/>
    <mergeCell ref="Q28:Q29"/>
    <mergeCell ref="B19:B21"/>
    <mergeCell ref="B23:B24"/>
    <mergeCell ref="L23:Q23"/>
    <mergeCell ref="L24:Q24"/>
    <mergeCell ref="L25:N25"/>
    <mergeCell ref="O25:Q25"/>
    <mergeCell ref="O27:P27"/>
    <mergeCell ref="L28:L29"/>
    <mergeCell ref="M28:M29"/>
    <mergeCell ref="N28:N29"/>
    <mergeCell ref="O28:P29"/>
    <mergeCell ref="O6:R6"/>
    <mergeCell ref="O8:O9"/>
    <mergeCell ref="O15:P15"/>
    <mergeCell ref="L16:L17"/>
    <mergeCell ref="M16:M17"/>
    <mergeCell ref="N16:N17"/>
    <mergeCell ref="O16:P17"/>
    <mergeCell ref="Q16:Q17"/>
  </mergeCells>
  <conditionalFormatting sqref="E7:E9">
    <cfRule type="dataBar" priority="19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{868B2046-2BE1-449A-BFDC-7135DA60F6CD}</x14:id>
        </ext>
      </extLst>
    </cfRule>
  </conditionalFormatting>
  <conditionalFormatting sqref="E53:E55">
    <cfRule type="dataBar" priority="18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{F2E2C866-942F-46EA-9EF1-DBDBB8A841D6}</x14:id>
        </ext>
      </extLst>
    </cfRule>
  </conditionalFormatting>
  <conditionalFormatting sqref="I53:I55">
    <cfRule type="dataBar" priority="17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{90A3DB7A-2343-46BD-9518-53DA8D72A85E}</x14:id>
        </ext>
      </extLst>
    </cfRule>
  </conditionalFormatting>
  <conditionalFormatting sqref="L16:N17">
    <cfRule type="cellIs" dxfId="14" priority="13" operator="lessThan">
      <formula>$P$9</formula>
    </cfRule>
    <cfRule type="cellIs" dxfId="13" priority="14" operator="greaterThan">
      <formula>$P$8</formula>
    </cfRule>
    <cfRule type="cellIs" dxfId="12" priority="15" operator="between">
      <formula>$P$9</formula>
      <formula>$P$8</formula>
    </cfRule>
  </conditionalFormatting>
  <conditionalFormatting sqref="L28:N29">
    <cfRule type="cellIs" dxfId="11" priority="10" operator="lessThan">
      <formula>$P$9</formula>
    </cfRule>
    <cfRule type="cellIs" dxfId="10" priority="11" operator="greaterThan">
      <formula>$P$8</formula>
    </cfRule>
    <cfRule type="cellIs" dxfId="9" priority="12" operator="between">
      <formula>$P$9</formula>
      <formula>$P$8</formula>
    </cfRule>
  </conditionalFormatting>
  <conditionalFormatting sqref="L40:N41">
    <cfRule type="cellIs" dxfId="8" priority="3" operator="lessThan">
      <formula>$P$9</formula>
    </cfRule>
    <cfRule type="cellIs" dxfId="7" priority="4" operator="greaterThan">
      <formula>$P$8</formula>
    </cfRule>
    <cfRule type="cellIs" dxfId="6" priority="5" operator="between">
      <formula>$P$9</formula>
      <formula>$P$8</formula>
    </cfRule>
  </conditionalFormatting>
  <conditionalFormatting sqref="M53:M55">
    <cfRule type="dataBar" priority="16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{170F7B57-B648-4530-A535-9BEBFC77F6ED}</x14:id>
        </ext>
      </extLst>
    </cfRule>
  </conditionalFormatting>
  <conditionalFormatting sqref="O16:P17">
    <cfRule type="cellIs" dxfId="5" priority="8" operator="greaterThan">
      <formula>$O$8</formula>
    </cfRule>
    <cfRule type="cellIs" dxfId="4" priority="9" operator="lessThan">
      <formula>$O$8</formula>
    </cfRule>
  </conditionalFormatting>
  <conditionalFormatting sqref="O28:P29">
    <cfRule type="cellIs" dxfId="3" priority="6" operator="greaterThan">
      <formula>$O$8</formula>
    </cfRule>
    <cfRule type="cellIs" dxfId="2" priority="7" operator="lessThan">
      <formula>$O$8</formula>
    </cfRule>
  </conditionalFormatting>
  <conditionalFormatting sqref="O40:P41">
    <cfRule type="cellIs" dxfId="1" priority="1" operator="greaterThan">
      <formula>$O$8</formula>
    </cfRule>
    <cfRule type="cellIs" dxfId="0" priority="2" operator="lessThan">
      <formula>$O$8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8B2046-2BE1-449A-BFDC-7135DA60F6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E7:E9</xm:sqref>
        </x14:conditionalFormatting>
        <x14:conditionalFormatting xmlns:xm="http://schemas.microsoft.com/office/excel/2006/main">
          <x14:cfRule type="dataBar" id="{F2E2C866-942F-46EA-9EF1-DBDBB8A84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E53:E55</xm:sqref>
        </x14:conditionalFormatting>
        <x14:conditionalFormatting xmlns:xm="http://schemas.microsoft.com/office/excel/2006/main">
          <x14:cfRule type="dataBar" id="{90A3DB7A-2343-46BD-9518-53DA8D72A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I53:I55</xm:sqref>
        </x14:conditionalFormatting>
        <x14:conditionalFormatting xmlns:xm="http://schemas.microsoft.com/office/excel/2006/main">
          <x14:cfRule type="dataBar" id="{170F7B57-B648-4530-A535-9BEBFC77F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M53:M55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4517-26F0-4ACF-93FB-2810D5F226BA}">
  <dimension ref="A1:R16"/>
  <sheetViews>
    <sheetView workbookViewId="0">
      <selection activeCell="D15" sqref="D15"/>
    </sheetView>
  </sheetViews>
  <sheetFormatPr defaultRowHeight="15.75" x14ac:dyDescent="0.25"/>
  <cols>
    <col min="1" max="6" width="9.140625" style="64"/>
    <col min="7" max="8" width="14.5703125" style="64" customWidth="1"/>
    <col min="9" max="16" width="9.140625" style="64"/>
    <col min="17" max="18" width="14.5703125" style="64" customWidth="1"/>
    <col min="19" max="16384" width="9.140625" style="64"/>
  </cols>
  <sheetData>
    <row r="1" spans="1:18" x14ac:dyDescent="0.25">
      <c r="A1" s="64" t="s">
        <v>83</v>
      </c>
      <c r="B1" s="64" t="s">
        <v>5</v>
      </c>
      <c r="C1" s="64" t="s">
        <v>6</v>
      </c>
      <c r="D1" s="64" t="s">
        <v>7</v>
      </c>
      <c r="E1" s="64" t="s">
        <v>1</v>
      </c>
      <c r="G1" s="64" t="s">
        <v>84</v>
      </c>
      <c r="H1" s="64" t="s">
        <v>85</v>
      </c>
      <c r="L1" s="32" t="s">
        <v>5</v>
      </c>
      <c r="M1" s="32" t="s">
        <v>6</v>
      </c>
      <c r="N1" s="32" t="s">
        <v>7</v>
      </c>
      <c r="O1" s="64" t="s">
        <v>1</v>
      </c>
      <c r="Q1" s="64" t="s">
        <v>84</v>
      </c>
      <c r="R1" s="64" t="s">
        <v>85</v>
      </c>
    </row>
    <row r="2" spans="1:18" x14ac:dyDescent="0.25">
      <c r="A2" s="64" t="s">
        <v>34</v>
      </c>
      <c r="B2" s="64">
        <v>41.14</v>
      </c>
      <c r="C2" s="64">
        <v>-4.8</v>
      </c>
      <c r="D2" s="64">
        <v>-34.58</v>
      </c>
      <c r="E2" s="64">
        <f>SQRT(C2^2+D2^2)</f>
        <v>34.911551097022311</v>
      </c>
      <c r="G2" s="64" t="s">
        <v>37</v>
      </c>
      <c r="H2" s="65">
        <f>B3-B2</f>
        <v>1.6000000000000014</v>
      </c>
      <c r="L2" s="2">
        <v>20.260000000000002</v>
      </c>
      <c r="M2" s="2">
        <v>-4.54</v>
      </c>
      <c r="N2" s="2">
        <v>2.36</v>
      </c>
      <c r="O2" s="64">
        <f>SQRT(M2^2+N2^2)</f>
        <v>5.1167567853084437</v>
      </c>
      <c r="Q2" s="64" t="s">
        <v>37</v>
      </c>
      <c r="R2" s="65">
        <f>L3-L2</f>
        <v>-2</v>
      </c>
    </row>
    <row r="3" spans="1:18" x14ac:dyDescent="0.25">
      <c r="A3" s="64" t="s">
        <v>35</v>
      </c>
      <c r="B3" s="64">
        <v>42.74</v>
      </c>
      <c r="C3" s="64">
        <v>-5.47</v>
      </c>
      <c r="D3" s="64">
        <v>-34.24</v>
      </c>
      <c r="E3" s="64">
        <f>SQRT(C3^2+D3^2)</f>
        <v>34.674176269956291</v>
      </c>
      <c r="G3" s="64" t="s">
        <v>40</v>
      </c>
      <c r="H3" s="65">
        <f>E3-E2</f>
        <v>-0.23737482706602009</v>
      </c>
      <c r="L3" s="2">
        <v>18.260000000000002</v>
      </c>
      <c r="M3" s="2">
        <v>-3.55</v>
      </c>
      <c r="N3" s="2">
        <v>-0.52</v>
      </c>
      <c r="O3" s="64">
        <f>SQRT(M3^2+N3^2)</f>
        <v>3.5878823838024569</v>
      </c>
      <c r="Q3" s="64" t="s">
        <v>40</v>
      </c>
      <c r="R3" s="65">
        <f>O3-O2</f>
        <v>-1.5288744015059867</v>
      </c>
    </row>
    <row r="4" spans="1:18" x14ac:dyDescent="0.25">
      <c r="G4" s="64" t="s">
        <v>38</v>
      </c>
      <c r="H4" s="65">
        <f>C3-C2</f>
        <v>-0.66999999999999993</v>
      </c>
      <c r="Q4" s="64" t="s">
        <v>38</v>
      </c>
      <c r="R4" s="65">
        <f>M3-M2</f>
        <v>0.99000000000000021</v>
      </c>
    </row>
    <row r="5" spans="1:18" x14ac:dyDescent="0.25">
      <c r="G5" s="64" t="s">
        <v>39</v>
      </c>
      <c r="H5" s="65">
        <f>D3-D2</f>
        <v>0.33999999999999631</v>
      </c>
      <c r="Q5" s="64" t="s">
        <v>39</v>
      </c>
      <c r="R5" s="65">
        <f>N3-N2</f>
        <v>-2.88</v>
      </c>
    </row>
    <row r="6" spans="1:18" x14ac:dyDescent="0.25">
      <c r="G6" s="64" t="s">
        <v>41</v>
      </c>
      <c r="H6" s="65">
        <f>SIGN(C2*D3-D2*C3)*SQRT(H4^2+H5^2-H3^2)</f>
        <v>-0.71284864555905159</v>
      </c>
      <c r="Q6" s="64" t="s">
        <v>41</v>
      </c>
      <c r="R6" s="65">
        <f>SIGN(M2*N3-N2*M3)*SQRT(R4^2+R5^2-R3^2)</f>
        <v>2.6338266959729357</v>
      </c>
    </row>
    <row r="7" spans="1:18" x14ac:dyDescent="0.25">
      <c r="G7" s="64" t="s">
        <v>42</v>
      </c>
      <c r="H7" s="65">
        <f>IF(B2&lt;16,0.511,(0.040975*B2)/(1+0.01765*B2))</f>
        <v>0.97658941638506225</v>
      </c>
      <c r="Q7" s="64" t="s">
        <v>42</v>
      </c>
      <c r="R7" s="65">
        <f>IF(L2&lt;16,0.511,(0.040975*L2)/(1+0.01765*L2))</f>
        <v>0.61149103300041474</v>
      </c>
    </row>
    <row r="8" spans="1:18" x14ac:dyDescent="0.25">
      <c r="G8" s="64" t="s">
        <v>43</v>
      </c>
      <c r="H8" s="65">
        <f>(0.0638*E2)/(1+0.0131*E2)+0.638</f>
        <v>2.1663701425218491</v>
      </c>
      <c r="Q8" s="64" t="s">
        <v>43</v>
      </c>
      <c r="R8" s="65">
        <f>(0.0638*O2)/(1+0.0131*O2)+0.638</f>
        <v>0.94394194317392122</v>
      </c>
    </row>
    <row r="9" spans="1:18" x14ac:dyDescent="0.25">
      <c r="G9" s="64" t="s">
        <v>44</v>
      </c>
      <c r="H9" s="65">
        <f>MOD(DEGREES(ATAN2(C2,D2)),360)</f>
        <v>262.09735275787273</v>
      </c>
      <c r="Q9" s="64" t="s">
        <v>44</v>
      </c>
      <c r="R9" s="65">
        <f>MOD(DEGREES(ATAN2(M2,N2)),360)</f>
        <v>152.53351618606101</v>
      </c>
    </row>
    <row r="10" spans="1:18" x14ac:dyDescent="0.25">
      <c r="G10" s="64" t="s">
        <v>46</v>
      </c>
      <c r="H10" s="65">
        <f>IF(AND(H9&gt;=164,H9&lt;=345),0.56+ABS(0.2*COS(RADIANS(H9+168))),0.36+ABS(0.4*COS(RADIANS(H9+35))))</f>
        <v>0.62808459881356615</v>
      </c>
      <c r="Q10" s="64" t="s">
        <v>46</v>
      </c>
      <c r="R10" s="65">
        <f>IF(AND(R9&gt;=164,R9&lt;=345),0.56+ABS(0.2*COS(RADIANS(R9+168))),0.36+ABS(0.4*COS(RADIANS(R9+35))))</f>
        <v>0.75654733525151985</v>
      </c>
    </row>
    <row r="11" spans="1:18" x14ac:dyDescent="0.25">
      <c r="G11" s="64" t="s">
        <v>47</v>
      </c>
      <c r="H11" s="65">
        <f>SQRT((E2^4)/(E2^4+1900))</f>
        <v>0.99936110326683825</v>
      </c>
      <c r="Q11" s="64" t="s">
        <v>47</v>
      </c>
      <c r="R11" s="65">
        <f>SQRT((O2^4)/(O2^4+1900))</f>
        <v>0.51489780100537941</v>
      </c>
    </row>
    <row r="12" spans="1:18" x14ac:dyDescent="0.25">
      <c r="G12" s="64" t="s">
        <v>45</v>
      </c>
      <c r="H12" s="65">
        <f>H8*(H11*H10+1-H11)</f>
        <v>1.3611784850475801</v>
      </c>
      <c r="Q12" s="64" t="s">
        <v>45</v>
      </c>
      <c r="R12" s="65">
        <f>R8*(R11*R10+1-R11)</f>
        <v>0.82561576059414432</v>
      </c>
    </row>
    <row r="13" spans="1:18" x14ac:dyDescent="0.25">
      <c r="G13" s="64" t="s">
        <v>86</v>
      </c>
      <c r="H13" s="65">
        <f>H2/(2*H7)</f>
        <v>0.8191774215220109</v>
      </c>
      <c r="Q13" s="64" t="s">
        <v>86</v>
      </c>
      <c r="R13" s="65">
        <f>R2/(2*R7)</f>
        <v>-1.6353469569182084</v>
      </c>
    </row>
    <row r="14" spans="1:18" x14ac:dyDescent="0.25">
      <c r="G14" s="64" t="s">
        <v>87</v>
      </c>
      <c r="H14" s="65">
        <f>H3/(1*H8)</f>
        <v>-0.1095726083030735</v>
      </c>
      <c r="Q14" s="64" t="s">
        <v>87</v>
      </c>
      <c r="R14" s="65">
        <f>R3/(1*R8)</f>
        <v>-1.6196699516977515</v>
      </c>
    </row>
    <row r="15" spans="1:18" x14ac:dyDescent="0.25">
      <c r="G15" s="64" t="s">
        <v>88</v>
      </c>
      <c r="H15" s="65">
        <f>H6/H12</f>
        <v>-0.52369961279114241</v>
      </c>
      <c r="Q15" s="64" t="s">
        <v>88</v>
      </c>
      <c r="R15" s="65">
        <f>R6/R12</f>
        <v>3.1901361646458088</v>
      </c>
    </row>
    <row r="16" spans="1:18" x14ac:dyDescent="0.25">
      <c r="G16" s="64" t="s">
        <v>89</v>
      </c>
      <c r="H16" s="65">
        <f>SQRT(H13^2+H14^2+H15^2)</f>
        <v>0.97842684389758117</v>
      </c>
      <c r="Q16" s="64" t="s">
        <v>89</v>
      </c>
      <c r="R16" s="65">
        <f>SQRT(R13^2+R14^2+R15^2)</f>
        <v>3.9337843320288051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2BE9-EAB4-4F4F-AFEC-D734682AF4F6}">
  <dimension ref="B2:L12"/>
  <sheetViews>
    <sheetView tabSelected="1" workbookViewId="0">
      <selection activeCell="J7" sqref="J7"/>
    </sheetView>
  </sheetViews>
  <sheetFormatPr defaultRowHeight="15" x14ac:dyDescent="0.25"/>
  <cols>
    <col min="6" max="6" width="9.5703125" bestFit="1" customWidth="1"/>
    <col min="8" max="8" width="8.28515625" customWidth="1"/>
  </cols>
  <sheetData>
    <row r="2" spans="2:12" x14ac:dyDescent="0.25">
      <c r="B2" s="88" t="s">
        <v>90</v>
      </c>
      <c r="C2" s="89">
        <v>1.8</v>
      </c>
      <c r="E2" s="88" t="s">
        <v>91</v>
      </c>
      <c r="F2" s="89">
        <v>1.2</v>
      </c>
      <c r="G2" s="90"/>
      <c r="H2" s="88" t="s">
        <v>90</v>
      </c>
      <c r="I2" s="89">
        <v>0.6</v>
      </c>
      <c r="J2" s="90"/>
      <c r="K2" s="88" t="s">
        <v>90</v>
      </c>
      <c r="L2" s="89"/>
    </row>
    <row r="3" spans="2:12" x14ac:dyDescent="0.25">
      <c r="B3" s="91" t="s">
        <v>92</v>
      </c>
      <c r="C3" s="92">
        <f>SQRT(($L$2^2)/3)</f>
        <v>0</v>
      </c>
      <c r="E3" s="91" t="s">
        <v>92</v>
      </c>
      <c r="F3" s="92">
        <f>SQRT(($F$2^2)/3)</f>
        <v>0.69282032302755092</v>
      </c>
      <c r="H3" s="91" t="s">
        <v>92</v>
      </c>
      <c r="I3" s="92">
        <f>SQRT(($I$2^2)/3)</f>
        <v>0.34641016151377546</v>
      </c>
      <c r="K3" s="91" t="s">
        <v>92</v>
      </c>
      <c r="L3" s="92">
        <f>SQRT(($L$2^2)/3)</f>
        <v>0</v>
      </c>
    </row>
    <row r="4" spans="2:12" x14ac:dyDescent="0.25">
      <c r="B4" s="91" t="s">
        <v>93</v>
      </c>
      <c r="C4" s="92">
        <f t="shared" ref="C4:C5" si="0">SQRT(($L$2^2)/3)</f>
        <v>0</v>
      </c>
      <c r="E4" s="91" t="s">
        <v>93</v>
      </c>
      <c r="F4" s="92">
        <f t="shared" ref="F4:F5" si="1">SQRT(($F$2^2)/3)</f>
        <v>0.69282032302755092</v>
      </c>
      <c r="H4" s="91" t="s">
        <v>93</v>
      </c>
      <c r="I4" s="92">
        <f t="shared" ref="I4:I5" si="2">SQRT(($I$2^2)/3)</f>
        <v>0.34641016151377546</v>
      </c>
      <c r="K4" s="91" t="s">
        <v>93</v>
      </c>
      <c r="L4" s="92">
        <f t="shared" ref="L4:L5" si="3">SQRT(($L$2^2)/3)</f>
        <v>0</v>
      </c>
    </row>
    <row r="5" spans="2:12" x14ac:dyDescent="0.25">
      <c r="B5" s="91" t="s">
        <v>94</v>
      </c>
      <c r="C5" s="92">
        <f t="shared" si="0"/>
        <v>0</v>
      </c>
      <c r="E5" s="91" t="s">
        <v>94</v>
      </c>
      <c r="F5" s="92">
        <f t="shared" si="1"/>
        <v>0.69282032302755092</v>
      </c>
      <c r="H5" s="91" t="s">
        <v>94</v>
      </c>
      <c r="I5" s="92">
        <f t="shared" si="2"/>
        <v>0.34641016151377546</v>
      </c>
      <c r="K5" s="91" t="s">
        <v>94</v>
      </c>
      <c r="L5" s="92">
        <f t="shared" si="3"/>
        <v>0</v>
      </c>
    </row>
    <row r="12" spans="2:12" ht="16.5" x14ac:dyDescent="0.25">
      <c r="H12" s="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CMC</vt:lpstr>
      <vt:lpstr>CMC_Calculator</vt:lpstr>
      <vt:lpstr>Tolerancias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Elkin Duvan Quebrada Guapacha</dc:creator>
  <cp:keywords/>
  <dc:description/>
  <cp:lastModifiedBy>Elkin Duvan Quebrada Guapacha</cp:lastModifiedBy>
  <cp:revision/>
  <dcterms:created xsi:type="dcterms:W3CDTF">2026-02-26T20:54:09Z</dcterms:created>
  <dcterms:modified xsi:type="dcterms:W3CDTF">2026-06-02T16:09:32Z</dcterms:modified>
  <cp:category/>
  <cp:contentStatus/>
</cp:coreProperties>
</file>