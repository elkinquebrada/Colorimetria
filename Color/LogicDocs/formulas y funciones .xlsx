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oatsplc-my.sharepoint.com/personal/elkinduvan_quebradaguapacha_coats_com/Documents/Escritorio/Colorimetria/Color/LogicDocs/"/>
    </mc:Choice>
  </mc:AlternateContent>
  <xr:revisionPtr revIDLastSave="1143" documentId="8_{9F78D261-5971-4E36-A791-098E2ABB119D}" xr6:coauthVersionLast="47" xr6:coauthVersionMax="47" xr10:uidLastSave="{8B68B66F-6FCE-4FD7-8586-FF8367F09E94}"/>
  <bookViews>
    <workbookView xWindow="-120" yWindow="-120" windowWidth="21840" windowHeight="13020" xr2:uid="{74F1A0B1-3ED8-4C59-B930-9B261CE40F5C}"/>
  </bookViews>
  <sheets>
    <sheet name="CALCULO SAMPLE COMPARISON " sheetId="3" r:id="rId1"/>
    <sheet name="CALCULO SHADE HISTORY REPORT" sheetId="1" r:id="rId2"/>
    <sheet name="TOLERANCIA" sheetId="2" r:id="rId3"/>
    <sheet name="CALCULO NUEVA RECETA" sheetId="4" r:id="rId4"/>
  </sheets>
  <externalReferences>
    <externalReference r:id="rId5"/>
  </externalReference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4" i="3" l="1"/>
  <c r="D3" i="3"/>
  <c r="E3" i="3" s="1"/>
  <c r="F3" i="3" s="1"/>
  <c r="F5" i="3"/>
  <c r="S19" i="3"/>
  <c r="R19" i="3"/>
  <c r="Q19" i="3"/>
  <c r="P19" i="3"/>
  <c r="I19" i="3"/>
  <c r="L19" i="3" s="1"/>
  <c r="O19" i="3" s="1"/>
  <c r="H19" i="3"/>
  <c r="K19" i="3" s="1"/>
  <c r="N19" i="3" s="1"/>
  <c r="G19" i="3"/>
  <c r="S17" i="3"/>
  <c r="R17" i="3"/>
  <c r="Q17" i="3"/>
  <c r="P17" i="3"/>
  <c r="I17" i="3"/>
  <c r="L17" i="3" s="1"/>
  <c r="O17" i="3" s="1"/>
  <c r="H17" i="3"/>
  <c r="K17" i="3" s="1"/>
  <c r="N17" i="3" s="1"/>
  <c r="G17" i="3"/>
  <c r="J17" i="3" s="1"/>
  <c r="M17" i="3" s="1"/>
  <c r="S15" i="3"/>
  <c r="R15" i="3"/>
  <c r="Q15" i="3"/>
  <c r="P15" i="3"/>
  <c r="I15" i="3"/>
  <c r="L15" i="3" s="1"/>
  <c r="O15" i="3" s="1"/>
  <c r="H15" i="3"/>
  <c r="K15" i="3" s="1"/>
  <c r="G15" i="3"/>
  <c r="J15" i="3" s="1"/>
  <c r="B10" i="3"/>
  <c r="B9" i="3"/>
  <c r="B8" i="3"/>
  <c r="B7" i="3"/>
  <c r="D5" i="3"/>
  <c r="E5" i="3" s="1"/>
  <c r="D4" i="3"/>
  <c r="E4" i="3" s="1"/>
  <c r="B11" i="3" l="1"/>
  <c r="B12" i="3"/>
  <c r="T15" i="3"/>
  <c r="U15" i="3"/>
  <c r="T17" i="3"/>
  <c r="U17" i="3"/>
  <c r="T19" i="3"/>
  <c r="U19" i="3"/>
  <c r="F9" i="3"/>
  <c r="H4" i="3"/>
  <c r="F4" i="3"/>
  <c r="H5" i="3"/>
  <c r="N15" i="3"/>
  <c r="M15" i="3"/>
  <c r="J19" i="3"/>
  <c r="M19" i="3" s="1"/>
  <c r="H3" i="3" l="1"/>
  <c r="J5" i="1" l="1"/>
  <c r="N5" i="1"/>
  <c r="L5" i="1"/>
  <c r="K5" i="1"/>
  <c r="D6" i="4"/>
  <c r="L9" i="1"/>
  <c r="L7" i="1"/>
  <c r="D7" i="4"/>
  <c r="E12" i="4" l="1"/>
  <c r="D13" i="4"/>
  <c r="F13" i="4" s="1"/>
  <c r="L5" i="2"/>
  <c r="I5" i="2"/>
  <c r="F5" i="2"/>
  <c r="C5" i="2"/>
  <c r="L4" i="2"/>
  <c r="I4" i="2"/>
  <c r="F4" i="2"/>
  <c r="C4" i="2"/>
  <c r="L3" i="2"/>
  <c r="I3" i="2"/>
  <c r="F3" i="2"/>
  <c r="C3" i="2"/>
  <c r="G15" i="1"/>
  <c r="G42" i="1"/>
  <c r="F43" i="1"/>
  <c r="F34" i="1"/>
  <c r="G33" i="1"/>
  <c r="G32" i="1"/>
  <c r="G31" i="1"/>
  <c r="F26" i="1"/>
  <c r="G25" i="1"/>
  <c r="F18" i="1"/>
  <c r="G16" i="1" s="1"/>
  <c r="G17" i="1"/>
  <c r="O9" i="1"/>
  <c r="Q34" i="1" s="1"/>
  <c r="N9" i="1"/>
  <c r="P34" i="1" s="1"/>
  <c r="M9" i="1"/>
  <c r="O34" i="1" s="1"/>
  <c r="K9" i="1"/>
  <c r="J9" i="1"/>
  <c r="H31" i="1" s="1"/>
  <c r="O7" i="1"/>
  <c r="P27" i="1" s="1"/>
  <c r="N7" i="1"/>
  <c r="P26" i="1" s="1"/>
  <c r="M7" i="1"/>
  <c r="P43" i="1" s="1"/>
  <c r="K7" i="1"/>
  <c r="J7" i="1"/>
  <c r="J40" i="1" s="1"/>
  <c r="O5" i="1"/>
  <c r="O18" i="1" s="1"/>
  <c r="N18" i="1"/>
  <c r="M5" i="1"/>
  <c r="M18" i="1" s="1"/>
  <c r="H40" i="1"/>
  <c r="J42" i="1" l="1"/>
  <c r="H25" i="1"/>
  <c r="H26" i="1"/>
  <c r="J44" i="1" s="1"/>
  <c r="H42" i="1"/>
  <c r="G34" i="1"/>
  <c r="H32" i="1"/>
  <c r="M41" i="1"/>
  <c r="M43" i="1" s="1"/>
  <c r="J41" i="1"/>
  <c r="K41" i="1" s="1"/>
  <c r="H41" i="1"/>
  <c r="G41" i="1"/>
  <c r="H16" i="1"/>
  <c r="J43" i="1"/>
  <c r="M40" i="1"/>
  <c r="H17" i="1"/>
  <c r="M33" i="1" s="1"/>
  <c r="M42" i="1"/>
  <c r="G23" i="1"/>
  <c r="G40" i="1"/>
  <c r="G43" i="1" s="1"/>
  <c r="D11" i="4"/>
  <c r="F11" i="4" s="1"/>
  <c r="D12" i="4"/>
  <c r="F12" i="4" s="1"/>
  <c r="Q26" i="1"/>
  <c r="O26" i="1"/>
  <c r="Q43" i="1"/>
  <c r="O43" i="1"/>
  <c r="P35" i="1"/>
  <c r="J25" i="1"/>
  <c r="I25" i="1"/>
  <c r="H27" i="1"/>
  <c r="H24" i="1"/>
  <c r="H23" i="1"/>
  <c r="J31" i="1"/>
  <c r="G26" i="1"/>
  <c r="J32" i="1"/>
  <c r="H33" i="1"/>
  <c r="G18" i="1"/>
  <c r="H15" i="1"/>
  <c r="M23" i="1" s="1"/>
  <c r="G24" i="1"/>
  <c r="J17" i="1" l="1"/>
  <c r="M25" i="1"/>
  <c r="M32" i="1"/>
  <c r="J16" i="1"/>
  <c r="K40" i="1"/>
  <c r="N41" i="1"/>
  <c r="H43" i="1"/>
  <c r="H44" i="1" s="1"/>
  <c r="M24" i="1"/>
  <c r="K42" i="1"/>
  <c r="N42" i="1"/>
  <c r="M31" i="1"/>
  <c r="J15" i="1"/>
  <c r="H18" i="1"/>
  <c r="J23" i="1"/>
  <c r="I23" i="1"/>
  <c r="J33" i="1"/>
  <c r="J24" i="1"/>
  <c r="I24" i="1"/>
  <c r="H34" i="1"/>
  <c r="I40" i="1" l="1"/>
  <c r="H19" i="1"/>
  <c r="I41" i="1"/>
  <c r="K43" i="1"/>
  <c r="M44" i="1"/>
  <c r="N40" i="1"/>
  <c r="N43" i="1" s="1"/>
  <c r="I42" i="1"/>
  <c r="I43" i="1" s="1"/>
  <c r="H35" i="1"/>
  <c r="I31" i="1"/>
  <c r="I32" i="1"/>
  <c r="I33" i="1"/>
  <c r="I26" i="1"/>
  <c r="J26" i="1"/>
  <c r="K23" i="1"/>
  <c r="N23" i="1"/>
  <c r="M26" i="1"/>
  <c r="J34" i="1"/>
  <c r="N31" i="1" s="1"/>
  <c r="I16" i="1"/>
  <c r="I17" i="1"/>
  <c r="I15" i="1"/>
  <c r="I18" i="1" s="1"/>
  <c r="J18" i="1"/>
  <c r="M34" i="1"/>
  <c r="K15" i="1" l="1"/>
  <c r="J19" i="1"/>
  <c r="J27" i="1"/>
  <c r="N24" i="1"/>
  <c r="K25" i="1"/>
  <c r="N25" i="1"/>
  <c r="J35" i="1"/>
  <c r="K34" i="1"/>
  <c r="N33" i="1"/>
  <c r="N32" i="1"/>
  <c r="K31" i="1"/>
  <c r="K32" i="1"/>
  <c r="N26" i="1"/>
  <c r="M35" i="1"/>
  <c r="N34" i="1"/>
  <c r="K16" i="1"/>
  <c r="K17" i="1"/>
  <c r="K24" i="1"/>
  <c r="I34" i="1"/>
  <c r="K33" i="1"/>
  <c r="K18" i="1" l="1"/>
  <c r="K26" i="1"/>
  <c r="M27" i="1" s="1"/>
</calcChain>
</file>

<file path=xl/sharedStrings.xml><?xml version="1.0" encoding="utf-8"?>
<sst xmlns="http://schemas.openxmlformats.org/spreadsheetml/2006/main" count="220" uniqueCount="139">
  <si>
    <t>CMC(2.1)</t>
  </si>
  <si>
    <t>Lightness</t>
  </si>
  <si>
    <t>Chroma</t>
  </si>
  <si>
    <t>Hue</t>
  </si>
  <si>
    <t>conversion Lightness</t>
  </si>
  <si>
    <t>conversion Chroma</t>
  </si>
  <si>
    <t>D65</t>
  </si>
  <si>
    <t>TL84</t>
  </si>
  <si>
    <t>A o CWF</t>
  </si>
  <si>
    <t>calculo 1</t>
  </si>
  <si>
    <t>calculo 2</t>
  </si>
  <si>
    <t>calculo 3</t>
  </si>
  <si>
    <t>Foron Golden YELLOW</t>
  </si>
  <si>
    <t>Foron Navy</t>
  </si>
  <si>
    <t>Foron RED</t>
  </si>
  <si>
    <t>[ Total ]</t>
  </si>
  <si>
    <t>Variación en la [ ]</t>
  </si>
  <si>
    <t>Chroma (D65)</t>
  </si>
  <si>
    <t>Chroma (A)</t>
  </si>
  <si>
    <t>CALCULOS REALIZADOS</t>
  </si>
  <si>
    <t xml:space="preserve">DE </t>
  </si>
  <si>
    <t>DE</t>
  </si>
  <si>
    <t xml:space="preserve">DL </t>
  </si>
  <si>
    <t>DC</t>
  </si>
  <si>
    <t xml:space="preserve">DH </t>
  </si>
  <si>
    <t>std</t>
  </si>
  <si>
    <t>lot</t>
  </si>
  <si>
    <t>Porcentaje a corregir</t>
  </si>
  <si>
    <t>Oscuro</t>
  </si>
  <si>
    <t xml:space="preserve">Rojo (disminui) o Verde (aumentar) </t>
  </si>
  <si>
    <t>Azul (disminuir) o Amarillo (aumentar)</t>
  </si>
  <si>
    <t>L</t>
  </si>
  <si>
    <t>A</t>
  </si>
  <si>
    <t>B</t>
  </si>
  <si>
    <t>Res L</t>
  </si>
  <si>
    <t>Res A</t>
  </si>
  <si>
    <t>Res B</t>
  </si>
  <si>
    <t>Valor Abs L</t>
  </si>
  <si>
    <t>Valor Abs A</t>
  </si>
  <si>
    <t>Valor Abs B</t>
  </si>
  <si>
    <t>% a corregir L</t>
  </si>
  <si>
    <t>% corregir A</t>
  </si>
  <si>
    <t>% a corregir B</t>
  </si>
  <si>
    <t>Lightness (D65)</t>
  </si>
  <si>
    <t>Lightness (TL84)</t>
  </si>
  <si>
    <t>Lightness (A o CWF)</t>
  </si>
  <si>
    <t>SHADE HISTORY REPORT</t>
  </si>
  <si>
    <t xml:space="preserve"> ILUMINANTE (D65)</t>
  </si>
  <si>
    <t>SAMPLE COMPARISON</t>
  </si>
  <si>
    <t xml:space="preserve">Porcentaje de Tintes </t>
  </si>
  <si>
    <t>ILUMINANTE  (TL84)</t>
  </si>
  <si>
    <t xml:space="preserve">  ILUMINANTE (A o CWF)</t>
  </si>
  <si>
    <t xml:space="preserve"> ILUMINANTE  (D65)</t>
  </si>
  <si>
    <t>Chroma (C*) Std</t>
  </si>
  <si>
    <t>Chroma (C*) Lot</t>
  </si>
  <si>
    <t>HUE Std (h°)</t>
  </si>
  <si>
    <t>HUE Lot (h°)</t>
  </si>
  <si>
    <t>ΔC (Delta Chroma)</t>
  </si>
  <si>
    <t>ΔH (Delta Hue)</t>
  </si>
  <si>
    <t>Chroma Std (C*)</t>
  </si>
  <si>
    <t>Chroma Lot (C*)</t>
  </si>
  <si>
    <t>ΔC</t>
  </si>
  <si>
    <t>ΔH CMC formula</t>
  </si>
  <si>
    <t>HUE (h°)</t>
  </si>
  <si>
    <t>ΔH TL84</t>
  </si>
  <si>
    <t>ΔH A/CWF</t>
  </si>
  <si>
    <t>HUE (h°) D65</t>
  </si>
  <si>
    <t>HUE (h°) TL84</t>
  </si>
  <si>
    <t>HUE (h°) A/CWF</t>
  </si>
  <si>
    <t>ΔH (Delta Hue) (D65)</t>
  </si>
  <si>
    <t>Chroma (TL 84)</t>
  </si>
  <si>
    <r>
      <t>Prioridad de Operación:</t>
    </r>
    <r>
      <rPr>
        <sz val="11"/>
        <color theme="1"/>
        <rFont val="Aptos Narrow"/>
        <family val="2"/>
        <scheme val="minor"/>
      </rPr>
      <t xml:space="preserve"> Se especifica que el ajuste es multiplicativo y secuencial. Primero se ajusta la carga total (fuerza) y sobre ese resultado se aplica la corrección tonal.</t>
    </r>
  </si>
  <si>
    <t xml:space="preserve"> Análisis (shade History Report)</t>
  </si>
  <si>
    <t xml:space="preserve">Deltas  </t>
  </si>
  <si>
    <t>%</t>
  </si>
  <si>
    <t xml:space="preserve">Factor </t>
  </si>
  <si>
    <t>DL (fuerza)</t>
  </si>
  <si>
    <t>DH (matiz)</t>
  </si>
  <si>
    <r>
      <t>Identificación de Colorante Clave:</t>
    </r>
    <r>
      <rPr>
        <sz val="11"/>
        <color theme="1"/>
        <rFont val="Aptos Narrow"/>
        <family val="2"/>
        <scheme val="minor"/>
      </rPr>
      <t xml:space="preserve"> El ajuste DH se aplicó únicamente al colarante principal </t>
    </r>
  </si>
  <si>
    <t>Colarante</t>
  </si>
  <si>
    <t>% Receta Original</t>
  </si>
  <si>
    <t>Ajuste  DL</t>
  </si>
  <si>
    <t>Ajuste DH</t>
  </si>
  <si>
    <t>% Receta Nueva</t>
  </si>
  <si>
    <t xml:space="preserve">Foron NAVY S-RD: </t>
  </si>
  <si>
    <t>-</t>
  </si>
  <si>
    <t>Foron RUBINE SE-RD:</t>
  </si>
  <si>
    <t>Foron BRI YELLOW SE-RD:</t>
  </si>
  <si>
    <t>Tipo de Alerta</t>
  </si>
  <si>
    <t>Condición Técnica</t>
  </si>
  <si>
    <t>Mensaje en Pantalla</t>
  </si>
  <si>
    <t>Saturación Crítica</t>
  </si>
  <si>
    <t>"ALERTA: Límite de saturación excedido. Posible desprendimiento de color."</t>
  </si>
  <si>
    <t>Sobre-corrección</t>
  </si>
  <si>
    <t>"AVISO: Ajuste agresivo detectado. Se recomienda verificar pesaje inicial."</t>
  </si>
  <si>
    <t>Incompatibilidad</t>
  </si>
  <si>
    <t>"ERROR: Se requiere adición de colorante externo no presente en receta base."</t>
  </si>
  <si>
    <t>La concentración nueva supera el 4.5% - 5.0% (depende de la fibra).</t>
  </si>
  <si>
    <t>El ajuste de matiz DH sugiere agregar un colorante que no está en la receta original.</t>
  </si>
  <si>
    <t>El factor de ajuste total DL * DH es mayor a 1.30 (+30%).</t>
  </si>
  <si>
    <t>conversion Hue</t>
  </si>
  <si>
    <t>a</t>
  </si>
  <si>
    <t>b</t>
  </si>
  <si>
    <t xml:space="preserve">dl </t>
  </si>
  <si>
    <t>dc</t>
  </si>
  <si>
    <t>dh</t>
  </si>
  <si>
    <t>varacion</t>
  </si>
  <si>
    <t>Valor Abs</t>
  </si>
  <si>
    <t xml:space="preserve">L </t>
  </si>
  <si>
    <t>lot-std</t>
  </si>
  <si>
    <t>(std-lot)/std</t>
  </si>
  <si>
    <r>
      <rPr>
        <sz val="7"/>
        <color theme="1"/>
        <rFont val="Times New Roman"/>
        <family val="1"/>
      </rPr>
      <t xml:space="preserve">_      </t>
    </r>
    <r>
      <rPr>
        <sz val="12"/>
        <color theme="1"/>
        <rFont val="Aptos"/>
        <family val="2"/>
      </rPr>
      <t xml:space="preserve">Si esta opaco y si esta oscuro; entonces </t>
    </r>
  </si>
  <si>
    <t>(-)</t>
  </si>
  <si>
    <t>(=) restar brillante 0%</t>
  </si>
  <si>
    <t>Receta # 1</t>
  </si>
  <si>
    <t>Receta # 2</t>
  </si>
  <si>
    <t xml:space="preserve">Receta # 3 </t>
  </si>
  <si>
    <r>
      <rPr>
        <sz val="7"/>
        <color theme="1"/>
        <rFont val="Times New Roman"/>
        <family val="1"/>
      </rPr>
      <t xml:space="preserve">_  </t>
    </r>
    <r>
      <rPr>
        <sz val="12"/>
        <color theme="1"/>
        <rFont val="Aptos"/>
        <family val="2"/>
      </rPr>
      <t xml:space="preserve">Si esta opaco y si esta oscuro; entonces </t>
    </r>
  </si>
  <si>
    <t>(=) restar oscuro 0%</t>
  </si>
  <si>
    <t>_+%</t>
  </si>
  <si>
    <t>------</t>
  </si>
  <si>
    <t>-------</t>
  </si>
  <si>
    <t>oscuro (-)</t>
  </si>
  <si>
    <t>✔</t>
  </si>
  <si>
    <r>
      <rPr>
        <sz val="7"/>
        <color theme="1"/>
        <rFont val="Times New Roman"/>
        <family val="1"/>
      </rPr>
      <t xml:space="preserve">_  </t>
    </r>
    <r>
      <rPr>
        <sz val="12"/>
        <color theme="1"/>
        <rFont val="Aptos"/>
        <family val="2"/>
      </rPr>
      <t xml:space="preserve">Si esta brillante y si esta claro; </t>
    </r>
  </si>
  <si>
    <t>(+)</t>
  </si>
  <si>
    <t>(=) sumar opaco 0%</t>
  </si>
  <si>
    <t>--------</t>
  </si>
  <si>
    <t>X</t>
  </si>
  <si>
    <r>
      <rPr>
        <sz val="7"/>
        <color theme="1"/>
        <rFont val="Times New Roman"/>
        <family val="1"/>
      </rPr>
      <t xml:space="preserve"> </t>
    </r>
    <r>
      <rPr>
        <sz val="12"/>
        <color theme="1"/>
        <rFont val="Aptos"/>
        <family val="2"/>
      </rPr>
      <t xml:space="preserve">Si esta opaco y si esta esta claro; entonces </t>
    </r>
  </si>
  <si>
    <t>(=) sumar brillante 0%</t>
  </si>
  <si>
    <t>C</t>
  </si>
  <si>
    <t>claro (+)</t>
  </si>
  <si>
    <t xml:space="preserve">brillante </t>
  </si>
  <si>
    <t xml:space="preserve">opaco </t>
  </si>
  <si>
    <t>delta %</t>
  </si>
  <si>
    <t>La teoría de Kubelka-Munk (1931) es un modelo matemático fundamental que describe cómo la luz interactúa con materiales difusores y absorbentes, como pinturas, recubrimientos o polvos, relacionando la reflectancia con el coeficiente de absorción (\(K\)) y dispersión (\(S\)). Se basa en dos flujos de luz (uno ascendente y otro descendente) para predecir color, opacidad y concentración de pigmentos.Aspectos Clave de la Ley de Kubelka-MunkFundamento: Desarrollada por Paul Kubelka y Franz Munk, simplifica la transferencia radiativa asumiendo que la luz se difunde en medios espesos.Ecuación Fundamental: Para una muestra de espesor infinito o muy grueso, la reflectancia se relaciona con \(K\) (absorción) y \(S\) (dispersión) mediante:\(\frac{K}{S}=\frac{(1-R_{\infty })^{2}}{2R_{\infty }}\)Donde \(R_{\infty }\) es la reflectancia de una capa gruesa (reflectancia absoluta).Aplicaciones Principales:Ciencia del Color: Predecir el color y la opacidad de pinturas y recubrimientos.Espectroscopia (DRIFTS): Analizar muestras sólidas, donde se usa para convertir la reflectancia difusa en una señal linealmente proporcional a la concentración del analito.Caracterización de Materiales: Determinar la banda prohibida (band gap) de semiconductores en polvo.Modelo de Dos Flujos: Considera un flujo de luz hacia abajo (incidente) y otro hacia arriba (dispersado) para modelar la dispersión y la absorción.Limitaciones: Funciona mejor en medios turbios y con alta difusión. No se aplica con precisión en películas muy delgadas o materiales transparentes.</t>
  </si>
  <si>
    <t>UTILIZACION DE TEORIA EN EL PROGRAMA</t>
  </si>
  <si>
    <t>El Salto de "Espacio Color" a "Fuerza de Color" (K/S)
El programa no calcula sobre los valores $L^*, a^*, b^*$ directamente. Utiliza la ley de Kubelka-Munk.
•	El Problema: El color no es lineal. Si duplicas la cantidad de colorante en una tina, el hilo no se ve "el doble de oscuro".
•	La Solución Dinámica: El programa convierte la reflectancia en una función llamada $K/S$ (Absorción/Dispersión). Esto permite que el $\Delta\%$ que ves en pantalla sea directamente proporcional a la masa de colorante.
•	Resultado: Si el programa dice $-2.60\%$, es porque calculó cuánta energía de luz se está perdiendo y cuántos gramos de colorante real compensan esa pérdida.
2. Ponderación Multiluminante (Metamerismo)
Un cálculo dinámico significa que el programa está analizando el lote bajo tres realidades distintas simultáneamente (D65, TL84, A).
•	Si el lote se desvía mucho bajo luz de tungsteno (A) pero poco bajo luz de día (D65), el programa no te da un promedio simple.
•	Dinámica: El algoritmo prioriza el iluminante principal de Coats, pero ajusta la recomendación de receta para que el color sea estable en todas las luces. El Excel, al ser estático, solo ve un escenario a la vez.
3. El Algoritmo de Diferencia de Color (CMC 2:1 o CIE2000)
•	Cálculo Dinámico (Programa): Crea un elipsoide de tolerancia. Si el color es un amarillo brillante, el elipsoide se expande (somos menos sensibles). Si el color es un neutro, el elipsoide se encoge.
•	Por eso el programa puede decir que un lote "CUMPLE" aunque numéricamente parezca desviado, o viceversa.
Resumen del Proceso Interno
Cada vez que presionas "Iniciar Escaneo", ocurre esta secuencia en milisegundos:
1.	Normalización: El OCR entrega los números.
2.	Transformación: Los números se convierten en curvas de energía ($K/S$).
3.	Comparación Vectorial: Se mide la distancia entre el estándar y el lote dentro del elipsoide de tolerancia.
4.	Traducción Química: Esa distancia se traduce a porcentaje de colorante ($\Delta\%$) y finalmente a la recomendación de ingeniería que ves en la pantalla final.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</si>
</sst>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
    <numFmt numFmtId="166" formatCode="0.0"/>
    <numFmt numFmtId="167" formatCode="0.00000"/>
    <numFmt numFmtId="168" formatCode="0.000000"/>
  </numFmts>
  <fonts count="22" x14ac:knownFonts="1">
    <font>
      <sz val="11"/>
      <color theme="1"/>
      <name val="Aptos Narrow"/>
      <family val="2"/>
      <scheme val="minor"/>
    </font>
    <font>
      <b/>
      <sz val="11"/>
      <color theme="1"/>
      <name val="Aptos Narrow"/>
      <family val="2"/>
      <scheme val="minor"/>
    </font>
    <font>
      <sz val="11"/>
      <color theme="1"/>
      <name val="Segoe UI"/>
      <family val="2"/>
    </font>
    <font>
      <b/>
      <sz val="10"/>
      <name val="Arial"/>
      <family val="2"/>
    </font>
    <font>
      <sz val="11"/>
      <color rgb="FF0070C0"/>
      <name val="Aptos Narrow"/>
      <family val="2"/>
      <charset val="1"/>
    </font>
    <font>
      <sz val="10"/>
      <name val="Arial"/>
      <family val="2"/>
    </font>
    <font>
      <b/>
      <sz val="11"/>
      <color theme="1"/>
      <name val="Aptos Narrow"/>
      <family val="2"/>
      <charset val="1"/>
    </font>
    <font>
      <b/>
      <sz val="11"/>
      <color rgb="FFFF0000"/>
      <name val="Aptos Narrow"/>
      <family val="2"/>
      <charset val="1"/>
    </font>
    <font>
      <sz val="11"/>
      <color rgb="FFFF0000"/>
      <name val="Aptos Narrow"/>
      <family val="2"/>
      <charset val="1"/>
    </font>
    <font>
      <sz val="11"/>
      <color rgb="FF00B0F0"/>
      <name val="Aptos Narrow"/>
      <family val="2"/>
      <charset val="1"/>
    </font>
    <font>
      <sz val="10"/>
      <name val="Arial"/>
      <family val="2"/>
    </font>
    <font>
      <b/>
      <sz val="16"/>
      <color rgb="FFFF0000"/>
      <name val="Aptos Narrow"/>
      <family val="2"/>
      <charset val="1"/>
    </font>
    <font>
      <sz val="11"/>
      <color theme="1"/>
      <name val="Arial"/>
      <family val="2"/>
    </font>
    <font>
      <b/>
      <sz val="11"/>
      <color theme="1"/>
      <name val="Arial"/>
      <family val="2"/>
    </font>
    <font>
      <sz val="11"/>
      <color theme="1"/>
      <name val="Aptos Narrow"/>
      <family val="2"/>
      <scheme val="minor"/>
    </font>
    <font>
      <sz val="12"/>
      <color theme="1"/>
      <name val="Aptos"/>
      <family val="1"/>
    </font>
    <font>
      <sz val="7"/>
      <color theme="1"/>
      <name val="Times New Roman"/>
      <family val="1"/>
    </font>
    <font>
      <sz val="12"/>
      <color theme="1"/>
      <name val="Aptos"/>
      <family val="2"/>
    </font>
    <font>
      <b/>
      <sz val="11"/>
      <color rgb="FF000000"/>
      <name val="Aptos Narrow"/>
      <family val="2"/>
    </font>
    <font>
      <sz val="11"/>
      <color rgb="FF000000"/>
      <name val="Aptos Narrow"/>
      <family val="2"/>
    </font>
    <font>
      <sz val="12"/>
      <color theme="1"/>
      <name val="Arial"/>
      <family val="2"/>
    </font>
    <font>
      <sz val="12"/>
      <color theme="1"/>
      <name val="Segoe UI Symbol"/>
      <family val="2"/>
    </font>
  </fonts>
  <fills count="6">
    <fill>
      <patternFill patternType="none"/>
    </fill>
    <fill>
      <patternFill patternType="gray125"/>
    </fill>
    <fill>
      <patternFill patternType="solid">
        <fgColor theme="1"/>
        <bgColor rgb="FF003300"/>
      </patternFill>
    </fill>
    <fill>
      <patternFill patternType="solid">
        <fgColor theme="4" tint="0.39997558519241921"/>
        <bgColor indexed="64"/>
      </patternFill>
    </fill>
    <fill>
      <patternFill patternType="solid">
        <fgColor theme="4" tint="0.39997558519241921"/>
        <bgColor rgb="FF003300"/>
      </patternFill>
    </fill>
    <fill>
      <patternFill patternType="solid">
        <fgColor rgb="FF00B0F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style="medium">
        <color indexed="64"/>
      </top>
      <bottom style="medium">
        <color indexed="64"/>
      </bottom>
      <diagonal/>
    </border>
    <border>
      <left/>
      <right style="medium">
        <color indexed="64"/>
      </right>
      <top/>
      <bottom style="medium">
        <color indexed="64"/>
      </bottom>
      <diagonal/>
    </border>
  </borders>
  <cellStyleXfs count="2">
    <xf numFmtId="0" fontId="0" fillId="0" borderId="0"/>
    <xf numFmtId="9" fontId="14" fillId="0" borderId="0" applyFont="0" applyFill="0" applyBorder="0" applyAlignment="0" applyProtection="0"/>
  </cellStyleXfs>
  <cellXfs count="98">
    <xf numFmtId="0" fontId="0" fillId="0" borderId="0" xfId="0"/>
    <xf numFmtId="0" fontId="0" fillId="0" borderId="0" xfId="0" applyAlignment="1">
      <alignment horizontal="center" vertical="center"/>
    </xf>
    <xf numFmtId="0" fontId="0" fillId="0" borderId="1" xfId="0" applyBorder="1" applyAlignment="1">
      <alignment horizontal="center" vertical="center"/>
    </xf>
    <xf numFmtId="9" fontId="0" fillId="0" borderId="1" xfId="0" applyNumberFormat="1" applyBorder="1" applyAlignment="1">
      <alignment horizontal="center" vertical="center"/>
    </xf>
    <xf numFmtId="165" fontId="0" fillId="0" borderId="1" xfId="0" applyNumberFormat="1" applyBorder="1" applyAlignment="1">
      <alignment horizontal="center" vertical="center"/>
    </xf>
    <xf numFmtId="0" fontId="2" fillId="0" borderId="0" xfId="0" applyFont="1" applyAlignment="1">
      <alignment vertical="center"/>
    </xf>
    <xf numFmtId="0" fontId="1" fillId="0" borderId="0" xfId="0" applyFont="1"/>
    <xf numFmtId="0" fontId="0" fillId="0" borderId="1" xfId="0" applyBorder="1"/>
    <xf numFmtId="165" fontId="0" fillId="0" borderId="1" xfId="0" applyNumberFormat="1" applyBorder="1"/>
    <xf numFmtId="2" fontId="0" fillId="0" borderId="0" xfId="0" applyNumberFormat="1" applyAlignment="1">
      <alignment horizontal="center" vertical="center"/>
    </xf>
    <xf numFmtId="0" fontId="0" fillId="0" borderId="2" xfId="0" applyBorder="1" applyAlignment="1">
      <alignment horizontal="center" vertical="center"/>
    </xf>
    <xf numFmtId="0" fontId="3" fillId="0" borderId="0" xfId="0" applyFont="1" applyAlignment="1">
      <alignment horizontal="center" wrapText="1"/>
    </xf>
    <xf numFmtId="0" fontId="4" fillId="0" borderId="1" xfId="0" applyFont="1" applyBorder="1" applyAlignment="1">
      <alignment horizontal="center" vertical="center"/>
    </xf>
    <xf numFmtId="9" fontId="4" fillId="0" borderId="1" xfId="0" applyNumberFormat="1" applyFont="1" applyBorder="1" applyAlignment="1">
      <alignment horizontal="center" vertical="center"/>
    </xf>
    <xf numFmtId="0" fontId="3" fillId="0" borderId="0" xfId="0" applyFont="1"/>
    <xf numFmtId="0" fontId="5" fillId="0" borderId="0" xfId="0" applyFont="1"/>
    <xf numFmtId="0" fontId="5" fillId="0" borderId="1" xfId="0" applyFont="1" applyBorder="1"/>
    <xf numFmtId="0" fontId="3" fillId="0" borderId="1" xfId="0" applyFont="1" applyBorder="1" applyAlignment="1">
      <alignment horizontal="center" wrapText="1"/>
    </xf>
    <xf numFmtId="2" fontId="5" fillId="0" borderId="1" xfId="0" applyNumberFormat="1" applyFont="1" applyBorder="1"/>
    <xf numFmtId="2" fontId="3" fillId="0" borderId="1" xfId="0" applyNumberFormat="1" applyFont="1" applyBorder="1" applyAlignment="1">
      <alignment horizontal="center" wrapText="1"/>
    </xf>
    <xf numFmtId="2" fontId="5" fillId="0" borderId="1" xfId="0" applyNumberFormat="1" applyFont="1" applyBorder="1" applyAlignment="1">
      <alignment horizontal="center" wrapText="1"/>
    </xf>
    <xf numFmtId="2" fontId="5" fillId="0" borderId="1" xfId="0" applyNumberFormat="1" applyFont="1" applyBorder="1" applyAlignment="1">
      <alignment horizontal="center"/>
    </xf>
    <xf numFmtId="2" fontId="8" fillId="0" borderId="0" xfId="0" applyNumberFormat="1" applyFont="1" applyAlignment="1">
      <alignment horizontal="center" vertical="center"/>
    </xf>
    <xf numFmtId="164" fontId="0" fillId="0" borderId="1" xfId="0" applyNumberFormat="1" applyBorder="1" applyAlignment="1">
      <alignment horizontal="center" vertical="center"/>
    </xf>
    <xf numFmtId="165" fontId="8" fillId="0" borderId="1" xfId="0" applyNumberFormat="1" applyFont="1" applyBorder="1" applyAlignment="1">
      <alignment horizontal="center" vertical="center"/>
    </xf>
    <xf numFmtId="164" fontId="9" fillId="2" borderId="1" xfId="0" applyNumberFormat="1" applyFont="1" applyFill="1" applyBorder="1" applyAlignment="1">
      <alignment horizontal="center" vertical="center"/>
    </xf>
    <xf numFmtId="2" fontId="10" fillId="0" borderId="1" xfId="0" applyNumberFormat="1" applyFont="1" applyBorder="1" applyAlignment="1">
      <alignment horizontal="center" wrapText="1"/>
    </xf>
    <xf numFmtId="2" fontId="5" fillId="0" borderId="0" xfId="0" applyNumberFormat="1" applyFont="1" applyAlignment="1">
      <alignment horizontal="center" wrapText="1"/>
    </xf>
    <xf numFmtId="0" fontId="0" fillId="3" borderId="1" xfId="0" applyFill="1" applyBorder="1"/>
    <xf numFmtId="0" fontId="0" fillId="3" borderId="1" xfId="0" applyFill="1" applyBorder="1" applyAlignment="1">
      <alignment horizontal="center" vertical="center"/>
    </xf>
    <xf numFmtId="165" fontId="0" fillId="3" borderId="1" xfId="0" applyNumberFormat="1" applyFill="1" applyBorder="1" applyAlignment="1">
      <alignment horizontal="center" vertical="center"/>
    </xf>
    <xf numFmtId="0" fontId="1" fillId="3" borderId="1" xfId="0" applyFont="1" applyFill="1" applyBorder="1"/>
    <xf numFmtId="2" fontId="1" fillId="3" borderId="1" xfId="0" applyNumberFormat="1" applyFont="1" applyFill="1" applyBorder="1"/>
    <xf numFmtId="0" fontId="0" fillId="5" borderId="1" xfId="0" applyFill="1" applyBorder="1" applyAlignment="1">
      <alignment horizontal="center" vertical="center"/>
    </xf>
    <xf numFmtId="0" fontId="1" fillId="0" borderId="1" xfId="0" applyFont="1" applyBorder="1" applyAlignment="1">
      <alignment vertical="center" wrapText="1"/>
    </xf>
    <xf numFmtId="0" fontId="1" fillId="0" borderId="1" xfId="0" applyFont="1" applyBorder="1" applyAlignment="1">
      <alignment horizontal="center"/>
    </xf>
    <xf numFmtId="0" fontId="1" fillId="0" borderId="1" xfId="0" applyFont="1" applyBorder="1"/>
    <xf numFmtId="0" fontId="0" fillId="0" borderId="1" xfId="0" applyBorder="1" applyAlignment="1">
      <alignment vertical="center"/>
    </xf>
    <xf numFmtId="166" fontId="0" fillId="0" borderId="1" xfId="0" applyNumberFormat="1" applyBorder="1"/>
    <xf numFmtId="0" fontId="12" fillId="0" borderId="1" xfId="0" applyFont="1" applyBorder="1" applyAlignment="1">
      <alignment vertical="center"/>
    </xf>
    <xf numFmtId="0" fontId="1" fillId="0" borderId="1" xfId="0" applyFont="1" applyBorder="1" applyAlignment="1">
      <alignment horizontal="left" wrapText="1"/>
    </xf>
    <xf numFmtId="0" fontId="1" fillId="0" borderId="1" xfId="0" applyFont="1" applyBorder="1" applyAlignment="1">
      <alignment wrapText="1"/>
    </xf>
    <xf numFmtId="167" fontId="0" fillId="0" borderId="1" xfId="0" applyNumberFormat="1" applyBorder="1"/>
    <xf numFmtId="168" fontId="0" fillId="0" borderId="0" xfId="0" applyNumberFormat="1"/>
    <xf numFmtId="0" fontId="0" fillId="0" borderId="1" xfId="0" applyBorder="1" applyAlignment="1">
      <alignment vertical="center" wrapText="1"/>
    </xf>
    <xf numFmtId="0" fontId="12" fillId="0" borderId="1" xfId="0" applyFont="1" applyBorder="1" applyAlignment="1">
      <alignment vertical="center" wrapText="1"/>
    </xf>
    <xf numFmtId="0" fontId="12" fillId="0" borderId="1" xfId="0" applyFont="1" applyBorder="1" applyAlignment="1">
      <alignment horizontal="left" vertical="center" wrapText="1"/>
    </xf>
    <xf numFmtId="0" fontId="13" fillId="0" borderId="1" xfId="0" applyFont="1" applyBorder="1" applyAlignment="1">
      <alignment vertical="center" wrapText="1"/>
    </xf>
    <xf numFmtId="0" fontId="13" fillId="0" borderId="1" xfId="0" applyFont="1" applyBorder="1" applyAlignment="1">
      <alignment vertical="center"/>
    </xf>
    <xf numFmtId="0" fontId="1" fillId="0" borderId="0" xfId="0" applyFont="1" applyAlignment="1">
      <alignment wrapText="1"/>
    </xf>
    <xf numFmtId="0" fontId="0" fillId="0" borderId="0" xfId="0" applyAlignment="1">
      <alignment vertical="center"/>
    </xf>
    <xf numFmtId="167" fontId="0" fillId="0" borderId="0" xfId="0" applyNumberFormat="1"/>
    <xf numFmtId="0" fontId="0" fillId="0" borderId="0" xfId="0" applyAlignment="1">
      <alignment vertical="center" wrapText="1"/>
    </xf>
    <xf numFmtId="9" fontId="9" fillId="2" borderId="1" xfId="0" applyNumberFormat="1" applyFont="1" applyFill="1" applyBorder="1" applyAlignment="1">
      <alignment horizontal="center" vertical="center"/>
    </xf>
    <xf numFmtId="167" fontId="4" fillId="0" borderId="1" xfId="0" applyNumberFormat="1" applyFont="1" applyBorder="1" applyAlignment="1">
      <alignment horizontal="center" vertical="center"/>
    </xf>
    <xf numFmtId="10" fontId="0" fillId="0" borderId="0" xfId="0" applyNumberFormat="1" applyAlignment="1">
      <alignment horizontal="center" vertical="center"/>
    </xf>
    <xf numFmtId="168" fontId="4" fillId="0" borderId="1" xfId="0" applyNumberFormat="1" applyFont="1" applyBorder="1" applyAlignment="1">
      <alignment horizontal="center" vertical="center"/>
    </xf>
    <xf numFmtId="10" fontId="0" fillId="0" borderId="0" xfId="1" applyNumberFormat="1" applyFont="1"/>
    <xf numFmtId="0" fontId="15" fillId="0" borderId="0" xfId="0" applyFont="1" applyAlignment="1">
      <alignment horizontal="left" vertical="center" indent="5"/>
    </xf>
    <xf numFmtId="0" fontId="18" fillId="0" borderId="0" xfId="0" applyFont="1" applyAlignment="1">
      <alignment vertical="center" wrapText="1"/>
    </xf>
    <xf numFmtId="0" fontId="18" fillId="0" borderId="8" xfId="0" applyFont="1" applyBorder="1" applyAlignment="1">
      <alignment vertical="center"/>
    </xf>
    <xf numFmtId="0" fontId="18" fillId="0" borderId="8" xfId="0" applyFont="1" applyBorder="1" applyAlignment="1">
      <alignment vertical="center" wrapText="1"/>
    </xf>
    <xf numFmtId="0" fontId="19" fillId="0" borderId="0" xfId="0" applyFont="1" applyAlignment="1">
      <alignment horizontal="right" vertical="center"/>
    </xf>
    <xf numFmtId="0" fontId="19" fillId="0" borderId="9" xfId="0" applyFont="1" applyBorder="1" applyAlignment="1">
      <alignment vertical="center"/>
    </xf>
    <xf numFmtId="0" fontId="19" fillId="0" borderId="9" xfId="0" applyFont="1" applyBorder="1" applyAlignment="1">
      <alignment horizontal="right" vertical="center"/>
    </xf>
    <xf numFmtId="0" fontId="17" fillId="0" borderId="9" xfId="0" applyFont="1" applyBorder="1"/>
    <xf numFmtId="0" fontId="19" fillId="0" borderId="9" xfId="0" applyFont="1" applyBorder="1" applyAlignment="1">
      <alignment vertical="center" wrapText="1"/>
    </xf>
    <xf numFmtId="0" fontId="20" fillId="0" borderId="0" xfId="0" applyFont="1" applyAlignment="1">
      <alignment horizontal="left" vertical="top" wrapText="1"/>
    </xf>
    <xf numFmtId="2" fontId="0" fillId="5" borderId="1" xfId="0" applyNumberFormat="1" applyFill="1" applyBorder="1" applyAlignment="1">
      <alignment horizontal="center" vertical="center"/>
    </xf>
    <xf numFmtId="0" fontId="0" fillId="0" borderId="1" xfId="0" applyBorder="1" applyAlignment="1">
      <alignment horizontal="center"/>
    </xf>
    <xf numFmtId="9" fontId="0" fillId="0" borderId="1" xfId="0" applyNumberFormat="1" applyBorder="1" applyAlignment="1">
      <alignment horizontal="center"/>
    </xf>
    <xf numFmtId="0" fontId="0" fillId="0" borderId="0" xfId="0" applyAlignment="1">
      <alignment horizontal="center"/>
    </xf>
    <xf numFmtId="0" fontId="0" fillId="0" borderId="7" xfId="0" applyBorder="1" applyAlignment="1">
      <alignment horizontal="center" vertical="center"/>
    </xf>
    <xf numFmtId="0" fontId="0" fillId="0" borderId="1" xfId="0" applyBorder="1" applyAlignment="1">
      <alignment horizontal="center" vertical="center"/>
    </xf>
    <xf numFmtId="2" fontId="8" fillId="3" borderId="1" xfId="0" applyNumberFormat="1" applyFont="1" applyFill="1" applyBorder="1" applyAlignment="1">
      <alignment horizontal="center" vertical="center"/>
    </xf>
    <xf numFmtId="0" fontId="0" fillId="3" borderId="1" xfId="0" applyFill="1" applyBorder="1" applyAlignment="1">
      <alignment horizontal="center" vertical="center"/>
    </xf>
    <xf numFmtId="2" fontId="0" fillId="3" borderId="1" xfId="0" applyNumberFormat="1" applyFill="1" applyBorder="1" applyAlignment="1">
      <alignment horizontal="center" vertical="center"/>
    </xf>
    <xf numFmtId="0" fontId="11" fillId="4" borderId="1" xfId="0" applyFont="1" applyFill="1" applyBorder="1" applyAlignment="1">
      <alignment horizontal="center" vertical="center"/>
    </xf>
    <xf numFmtId="0" fontId="7" fillId="3" borderId="1" xfId="0" applyFont="1" applyFill="1" applyBorder="1" applyAlignment="1">
      <alignment horizontal="center" vertical="center"/>
    </xf>
    <xf numFmtId="2" fontId="7" fillId="3" borderId="1" xfId="0" applyNumberFormat="1" applyFont="1" applyFill="1" applyBorder="1" applyAlignment="1">
      <alignment horizontal="center" vertical="center"/>
    </xf>
    <xf numFmtId="0" fontId="6" fillId="3" borderId="1" xfId="0" applyFont="1" applyFill="1" applyBorder="1" applyAlignment="1">
      <alignment horizontal="center" vertical="center"/>
    </xf>
    <xf numFmtId="2" fontId="6" fillId="3" borderId="1" xfId="0" applyNumberFormat="1" applyFont="1" applyFill="1" applyBorder="1" applyAlignment="1">
      <alignment horizontal="center" vertical="center"/>
    </xf>
    <xf numFmtId="0" fontId="6" fillId="0" borderId="1" xfId="0" applyFont="1" applyBorder="1" applyAlignment="1">
      <alignment horizontal="center" vertical="center"/>
    </xf>
    <xf numFmtId="0" fontId="0" fillId="0" borderId="4" xfId="0" applyBorder="1" applyAlignment="1">
      <alignment horizontal="center" vertical="center"/>
    </xf>
    <xf numFmtId="0" fontId="0" fillId="0" borderId="6" xfId="0" applyBorder="1" applyAlignment="1">
      <alignment horizontal="center" vertical="center"/>
    </xf>
    <xf numFmtId="0" fontId="0" fillId="0" borderId="2" xfId="0" applyBorder="1" applyAlignment="1">
      <alignment horizontal="center" vertical="center"/>
    </xf>
    <xf numFmtId="0" fontId="0" fillId="0" borderId="5" xfId="0" applyBorder="1" applyAlignment="1">
      <alignment horizontal="center" vertical="center"/>
    </xf>
    <xf numFmtId="0" fontId="0" fillId="0" borderId="3" xfId="0" applyBorder="1" applyAlignment="1">
      <alignment horizontal="center" vertical="center"/>
    </xf>
    <xf numFmtId="1" fontId="6" fillId="0" borderId="2" xfId="0" applyNumberFormat="1" applyFont="1" applyBorder="1" applyAlignment="1">
      <alignment horizontal="center" vertical="center"/>
    </xf>
    <xf numFmtId="1" fontId="6" fillId="0" borderId="1" xfId="0" applyNumberFormat="1" applyFont="1" applyBorder="1" applyAlignment="1">
      <alignment horizontal="center" vertical="center"/>
    </xf>
    <xf numFmtId="1" fontId="0" fillId="0" borderId="1" xfId="0" applyNumberFormat="1" applyBorder="1" applyAlignment="1">
      <alignment horizontal="center" vertical="center"/>
    </xf>
    <xf numFmtId="1" fontId="0" fillId="0" borderId="2" xfId="0" applyNumberFormat="1" applyBorder="1" applyAlignment="1">
      <alignment horizontal="center" vertical="center"/>
    </xf>
    <xf numFmtId="0" fontId="21" fillId="0" borderId="0" xfId="0" applyFont="1" applyAlignment="1">
      <alignment horizontal="left" vertical="top" wrapText="1"/>
    </xf>
    <xf numFmtId="0" fontId="21" fillId="0" borderId="0" xfId="0" applyFont="1" applyAlignment="1">
      <alignment horizontal="left" vertical="top"/>
    </xf>
    <xf numFmtId="0" fontId="0" fillId="0" borderId="1" xfId="0" applyBorder="1" applyAlignment="1">
      <alignment horizontal="center" wrapText="1"/>
    </xf>
    <xf numFmtId="0" fontId="1" fillId="0" borderId="1" xfId="0" applyFont="1" applyBorder="1" applyAlignment="1">
      <alignment horizontal="center" vertical="center" wrapText="1"/>
    </xf>
    <xf numFmtId="0" fontId="1" fillId="0" borderId="0" xfId="0" applyFont="1" applyAlignment="1">
      <alignment horizontal="center"/>
    </xf>
    <xf numFmtId="0" fontId="20" fillId="0" borderId="0" xfId="0" applyFont="1" applyAlignment="1">
      <alignment horizontal="center" vertical="top" wrapText="1"/>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xdr:from>
      <xdr:col>0</xdr:col>
      <xdr:colOff>609600</xdr:colOff>
      <xdr:row>39</xdr:row>
      <xdr:rowOff>142875</xdr:rowOff>
    </xdr:from>
    <xdr:to>
      <xdr:col>1</xdr:col>
      <xdr:colOff>19050</xdr:colOff>
      <xdr:row>40</xdr:row>
      <xdr:rowOff>123825</xdr:rowOff>
    </xdr:to>
    <xdr:cxnSp macro="">
      <xdr:nvCxnSpPr>
        <xdr:cNvPr id="2" name="Straight Arrow Connector 1">
          <a:extLst>
            <a:ext uri="{FF2B5EF4-FFF2-40B4-BE49-F238E27FC236}">
              <a16:creationId xmlns:a16="http://schemas.microsoft.com/office/drawing/2014/main" id="{9A036C56-3AA8-4812-A378-E9E2966DC91F}"/>
            </a:ext>
          </a:extLst>
        </xdr:cNvPr>
        <xdr:cNvCxnSpPr/>
      </xdr:nvCxnSpPr>
      <xdr:spPr>
        <a:xfrm>
          <a:off x="609600" y="7620000"/>
          <a:ext cx="876300" cy="19050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571500</xdr:colOff>
      <xdr:row>40</xdr:row>
      <xdr:rowOff>123825</xdr:rowOff>
    </xdr:from>
    <xdr:to>
      <xdr:col>1</xdr:col>
      <xdr:colOff>28575</xdr:colOff>
      <xdr:row>41</xdr:row>
      <xdr:rowOff>133350</xdr:rowOff>
    </xdr:to>
    <xdr:cxnSp macro="">
      <xdr:nvCxnSpPr>
        <xdr:cNvPr id="3" name="Straight Arrow Connector 2">
          <a:extLst>
            <a:ext uri="{FF2B5EF4-FFF2-40B4-BE49-F238E27FC236}">
              <a16:creationId xmlns:a16="http://schemas.microsoft.com/office/drawing/2014/main" id="{4A3EC302-F39C-47B8-A208-2515A9C52782}"/>
            </a:ext>
          </a:extLst>
        </xdr:cNvPr>
        <xdr:cNvCxnSpPr/>
      </xdr:nvCxnSpPr>
      <xdr:spPr>
        <a:xfrm flipV="1">
          <a:off x="571500" y="7810500"/>
          <a:ext cx="923925" cy="2190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152400</xdr:colOff>
      <xdr:row>41</xdr:row>
      <xdr:rowOff>142875</xdr:rowOff>
    </xdr:from>
    <xdr:to>
      <xdr:col>3</xdr:col>
      <xdr:colOff>285750</xdr:colOff>
      <xdr:row>43</xdr:row>
      <xdr:rowOff>28575</xdr:rowOff>
    </xdr:to>
    <xdr:cxnSp macro="">
      <xdr:nvCxnSpPr>
        <xdr:cNvPr id="4" name="Straight Arrow Connector 3">
          <a:extLst>
            <a:ext uri="{FF2B5EF4-FFF2-40B4-BE49-F238E27FC236}">
              <a16:creationId xmlns:a16="http://schemas.microsoft.com/office/drawing/2014/main" id="{131057BE-94F2-461A-881A-47D5287DDF76}"/>
            </a:ext>
          </a:extLst>
        </xdr:cNvPr>
        <xdr:cNvCxnSpPr/>
      </xdr:nvCxnSpPr>
      <xdr:spPr>
        <a:xfrm>
          <a:off x="2190750" y="8039100"/>
          <a:ext cx="704850" cy="26670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xdr:col>
      <xdr:colOff>209550</xdr:colOff>
      <xdr:row>41</xdr:row>
      <xdr:rowOff>123825</xdr:rowOff>
    </xdr:from>
    <xdr:to>
      <xdr:col>2</xdr:col>
      <xdr:colOff>0</xdr:colOff>
      <xdr:row>43</xdr:row>
      <xdr:rowOff>76200</xdr:rowOff>
    </xdr:to>
    <xdr:cxnSp macro="">
      <xdr:nvCxnSpPr>
        <xdr:cNvPr id="5" name="Straight Arrow Connector 4">
          <a:extLst>
            <a:ext uri="{FF2B5EF4-FFF2-40B4-BE49-F238E27FC236}">
              <a16:creationId xmlns:a16="http://schemas.microsoft.com/office/drawing/2014/main" id="{BC2A0F86-4407-4382-9834-77D8CEE39FEA}"/>
            </a:ext>
          </a:extLst>
        </xdr:cNvPr>
        <xdr:cNvCxnSpPr/>
      </xdr:nvCxnSpPr>
      <xdr:spPr>
        <a:xfrm flipH="1">
          <a:off x="1676400" y="8020050"/>
          <a:ext cx="361950" cy="33337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371475</xdr:colOff>
      <xdr:row>38</xdr:row>
      <xdr:rowOff>161925</xdr:rowOff>
    </xdr:from>
    <xdr:to>
      <xdr:col>5</xdr:col>
      <xdr:colOff>342900</xdr:colOff>
      <xdr:row>39</xdr:row>
      <xdr:rowOff>180975</xdr:rowOff>
    </xdr:to>
    <xdr:sp macro="" textlink="">
      <xdr:nvSpPr>
        <xdr:cNvPr id="6" name="Arrow: Right 5">
          <a:extLst>
            <a:ext uri="{FF2B5EF4-FFF2-40B4-BE49-F238E27FC236}">
              <a16:creationId xmlns:a16="http://schemas.microsoft.com/office/drawing/2014/main" id="{4F0159DB-27BF-4085-9F1C-214BB34B493C}"/>
            </a:ext>
          </a:extLst>
        </xdr:cNvPr>
        <xdr:cNvSpPr/>
      </xdr:nvSpPr>
      <xdr:spPr>
        <a:xfrm>
          <a:off x="2981325" y="7429500"/>
          <a:ext cx="1457325" cy="22860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xdr:twoCellAnchor>
  <xdr:twoCellAnchor>
    <xdr:from>
      <xdr:col>8</xdr:col>
      <xdr:colOff>712615</xdr:colOff>
      <xdr:row>39</xdr:row>
      <xdr:rowOff>121756</xdr:rowOff>
    </xdr:from>
    <xdr:to>
      <xdr:col>10</xdr:col>
      <xdr:colOff>207648</xdr:colOff>
      <xdr:row>41</xdr:row>
      <xdr:rowOff>30833</xdr:rowOff>
    </xdr:to>
    <xdr:sp macro="" textlink="">
      <xdr:nvSpPr>
        <xdr:cNvPr id="7" name="Arrow: Right 6">
          <a:extLst>
            <a:ext uri="{FF2B5EF4-FFF2-40B4-BE49-F238E27FC236}">
              <a16:creationId xmlns:a16="http://schemas.microsoft.com/office/drawing/2014/main" id="{A97DA82C-D1AC-4E8C-835E-A5555789F8D2}"/>
            </a:ext>
          </a:extLst>
        </xdr:cNvPr>
        <xdr:cNvSpPr/>
      </xdr:nvSpPr>
      <xdr:spPr>
        <a:xfrm flipV="1">
          <a:off x="8132590" y="7598881"/>
          <a:ext cx="1066658" cy="328177"/>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xdr:twoCellAnchor>
  <xdr:twoCellAnchor>
    <xdr:from>
      <xdr:col>7</xdr:col>
      <xdr:colOff>1273175</xdr:colOff>
      <xdr:row>37</xdr:row>
      <xdr:rowOff>62442</xdr:rowOff>
    </xdr:from>
    <xdr:to>
      <xdr:col>8</xdr:col>
      <xdr:colOff>68792</xdr:colOff>
      <xdr:row>39</xdr:row>
      <xdr:rowOff>3175</xdr:rowOff>
    </xdr:to>
    <xdr:sp macro="" textlink="">
      <xdr:nvSpPr>
        <xdr:cNvPr id="8" name="Right Bracket 7">
          <a:extLst>
            <a:ext uri="{FF2B5EF4-FFF2-40B4-BE49-F238E27FC236}">
              <a16:creationId xmlns:a16="http://schemas.microsoft.com/office/drawing/2014/main" id="{EC385C18-FF22-4255-AD8B-2DB2ACC26C72}"/>
            </a:ext>
          </a:extLst>
        </xdr:cNvPr>
        <xdr:cNvSpPr/>
      </xdr:nvSpPr>
      <xdr:spPr>
        <a:xfrm>
          <a:off x="7302500" y="7120467"/>
          <a:ext cx="186267" cy="359833"/>
        </a:xfrm>
        <a:prstGeom prst="rightBracket">
          <a:avLst/>
        </a:prstGeom>
      </xdr:spPr>
      <xdr:style>
        <a:lnRef idx="2">
          <a:schemeClr val="accent1"/>
        </a:lnRef>
        <a:fillRef idx="0">
          <a:schemeClr val="accent1"/>
        </a:fillRef>
        <a:effectRef idx="1">
          <a:schemeClr val="accent1"/>
        </a:effectRef>
        <a:fontRef idx="minor">
          <a:schemeClr val="tx1"/>
        </a:fontRef>
      </xdr:style>
      <xdr:txBody>
        <a:bodyPr rtlCol="0" anchor="ctr"/>
        <a:lstStyle/>
        <a:p>
          <a:pPr algn="l"/>
          <a:endParaRPr lang="es-CO" sz="1100"/>
        </a:p>
      </xdr:txBody>
    </xdr:sp>
    <xdr:clientData/>
  </xdr:twoCellAnchor>
  <xdr:twoCellAnchor>
    <xdr:from>
      <xdr:col>7</xdr:col>
      <xdr:colOff>1261533</xdr:colOff>
      <xdr:row>39</xdr:row>
      <xdr:rowOff>49741</xdr:rowOff>
    </xdr:from>
    <xdr:to>
      <xdr:col>8</xdr:col>
      <xdr:colOff>38100</xdr:colOff>
      <xdr:row>40</xdr:row>
      <xdr:rowOff>202141</xdr:rowOff>
    </xdr:to>
    <xdr:sp macro="" textlink="">
      <xdr:nvSpPr>
        <xdr:cNvPr id="9" name="Right Bracket 8">
          <a:extLst>
            <a:ext uri="{FF2B5EF4-FFF2-40B4-BE49-F238E27FC236}">
              <a16:creationId xmlns:a16="http://schemas.microsoft.com/office/drawing/2014/main" id="{D9076EC7-6620-40E0-8522-5F2194AF656F}"/>
            </a:ext>
          </a:extLst>
        </xdr:cNvPr>
        <xdr:cNvSpPr/>
      </xdr:nvSpPr>
      <xdr:spPr>
        <a:xfrm>
          <a:off x="7290858" y="7526866"/>
          <a:ext cx="167217" cy="361950"/>
        </a:xfrm>
        <a:prstGeom prst="rightBracket">
          <a:avLst/>
        </a:prstGeom>
      </xdr:spPr>
      <xdr:style>
        <a:lnRef idx="2">
          <a:schemeClr val="accent1"/>
        </a:lnRef>
        <a:fillRef idx="0">
          <a:schemeClr val="accent1"/>
        </a:fillRef>
        <a:effectRef idx="1">
          <a:schemeClr val="accent1"/>
        </a:effectRef>
        <a:fontRef idx="minor">
          <a:schemeClr val="tx1"/>
        </a:fontRef>
      </xdr:style>
      <xdr:txBody>
        <a:bodyPr rtlCol="0" anchor="ctr"/>
        <a:lstStyle/>
        <a:p>
          <a:pPr algn="l"/>
          <a:endParaRPr lang="es-CO" sz="1100"/>
        </a:p>
      </xdr:txBody>
    </xdr:sp>
    <xdr:clientData/>
  </xdr:twoCellAnchor>
  <xdr:twoCellAnchor>
    <xdr:from>
      <xdr:col>8</xdr:col>
      <xdr:colOff>596198</xdr:colOff>
      <xdr:row>37</xdr:row>
      <xdr:rowOff>68841</xdr:rowOff>
    </xdr:from>
    <xdr:to>
      <xdr:col>10</xdr:col>
      <xdr:colOff>122982</xdr:colOff>
      <xdr:row>38</xdr:row>
      <xdr:rowOff>189584</xdr:rowOff>
    </xdr:to>
    <xdr:sp macro="" textlink="">
      <xdr:nvSpPr>
        <xdr:cNvPr id="10" name="Arrow: Right 9">
          <a:extLst>
            <a:ext uri="{FF2B5EF4-FFF2-40B4-BE49-F238E27FC236}">
              <a16:creationId xmlns:a16="http://schemas.microsoft.com/office/drawing/2014/main" id="{3179BF79-080F-423F-AFDE-D8EC7299F772}"/>
            </a:ext>
          </a:extLst>
        </xdr:cNvPr>
        <xdr:cNvSpPr/>
      </xdr:nvSpPr>
      <xdr:spPr>
        <a:xfrm flipV="1">
          <a:off x="8016173" y="7126866"/>
          <a:ext cx="1098409" cy="330293"/>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xdr:twoCellAnchor>
  <xdr:twoCellAnchor>
    <xdr:from>
      <xdr:col>12</xdr:col>
      <xdr:colOff>656166</xdr:colOff>
      <xdr:row>38</xdr:row>
      <xdr:rowOff>21167</xdr:rowOff>
    </xdr:from>
    <xdr:to>
      <xdr:col>13</xdr:col>
      <xdr:colOff>690950</xdr:colOff>
      <xdr:row>39</xdr:row>
      <xdr:rowOff>141910</xdr:rowOff>
    </xdr:to>
    <xdr:sp macro="" textlink="">
      <xdr:nvSpPr>
        <xdr:cNvPr id="11" name="Arrow: Right 10">
          <a:extLst>
            <a:ext uri="{FF2B5EF4-FFF2-40B4-BE49-F238E27FC236}">
              <a16:creationId xmlns:a16="http://schemas.microsoft.com/office/drawing/2014/main" id="{455ABC7C-5BBB-4EE4-8FDC-A3FA8D2FB076}"/>
            </a:ext>
          </a:extLst>
        </xdr:cNvPr>
        <xdr:cNvSpPr/>
      </xdr:nvSpPr>
      <xdr:spPr>
        <a:xfrm flipV="1">
          <a:off x="11095566" y="7288742"/>
          <a:ext cx="1073009" cy="330293"/>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O"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COPEEQGuapacha\Downloads\calculos_final.xlsx" TargetMode="External"/><Relationship Id="rId1" Type="http://schemas.openxmlformats.org/officeDocument/2006/relationships/externalLinkPath" Target="file:///C:\Users\COPEEQGuapacha\Downloads\calculos_fin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ALCULO SAMPLE COMPARISON "/>
      <sheetName val="CALCULO SHADE HISTORY REPORT"/>
      <sheetName val="TOLERANCIA"/>
    </sheetNames>
    <sheetDataSet>
      <sheetData sheetId="0">
        <row r="14">
          <cell r="D14">
            <v>82.83</v>
          </cell>
          <cell r="E14">
            <v>-14.24</v>
          </cell>
          <cell r="F14">
            <v>-3.6</v>
          </cell>
        </row>
        <row r="15">
          <cell r="D15">
            <v>80.680000000000007</v>
          </cell>
          <cell r="E15">
            <v>-13.01</v>
          </cell>
          <cell r="F15">
            <v>-3.47</v>
          </cell>
        </row>
        <row r="16">
          <cell r="D16">
            <v>81.81</v>
          </cell>
          <cell r="E16">
            <v>-12.77</v>
          </cell>
          <cell r="F16">
            <v>5.0599999999999996</v>
          </cell>
        </row>
        <row r="17">
          <cell r="D17">
            <v>79.78</v>
          </cell>
          <cell r="E17">
            <v>-12.04</v>
          </cell>
          <cell r="F17">
            <v>-4.33</v>
          </cell>
        </row>
        <row r="18">
          <cell r="D18">
            <v>80.94</v>
          </cell>
          <cell r="E18">
            <v>-15.03</v>
          </cell>
          <cell r="F18">
            <v>7.39</v>
          </cell>
        </row>
        <row r="19">
          <cell r="D19">
            <v>76.94</v>
          </cell>
          <cell r="E19">
            <v>-14.16</v>
          </cell>
          <cell r="F19">
            <v>6.8</v>
          </cell>
        </row>
      </sheetData>
      <sheetData sheetId="1"/>
      <sheetData sheetId="2"/>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2DF79-A7C0-4C59-8A5D-80E5B6D3C3CA}">
  <dimension ref="A1:U44"/>
  <sheetViews>
    <sheetView tabSelected="1" workbookViewId="0">
      <selection activeCell="M5" sqref="M5"/>
    </sheetView>
  </sheetViews>
  <sheetFormatPr defaultColWidth="8.5703125" defaultRowHeight="15" x14ac:dyDescent="0.25"/>
  <cols>
    <col min="1" max="1" width="22" customWidth="1"/>
    <col min="4" max="5" width="11.140625" customWidth="1"/>
    <col min="6" max="6" width="20.42578125" customWidth="1"/>
    <col min="8" max="8" width="20.85546875" customWidth="1"/>
    <col min="9" max="9" width="40.85546875" customWidth="1"/>
    <col min="10" max="10" width="11.5703125" customWidth="1"/>
    <col min="11" max="11" width="10.5703125" customWidth="1"/>
    <col min="12" max="12" width="11.140625" customWidth="1"/>
    <col min="13" max="13" width="15.5703125" customWidth="1"/>
    <col min="14" max="14" width="16" customWidth="1"/>
    <col min="15" max="15" width="16.7109375" customWidth="1"/>
    <col min="16" max="17" width="16" customWidth="1"/>
    <col min="18" max="19" width="14" customWidth="1"/>
    <col min="20" max="20" width="10" customWidth="1"/>
    <col min="21" max="21" width="16" customWidth="1"/>
  </cols>
  <sheetData>
    <row r="1" spans="1:21" ht="15" customHeight="1" x14ac:dyDescent="0.25">
      <c r="A1" s="72" t="s">
        <v>106</v>
      </c>
      <c r="B1" s="72"/>
      <c r="C1" s="72"/>
      <c r="D1" s="72"/>
      <c r="E1" s="72"/>
      <c r="F1" s="1"/>
      <c r="G1" s="1"/>
      <c r="H1" s="1"/>
    </row>
    <row r="2" spans="1:21" ht="15" customHeight="1" x14ac:dyDescent="0.25">
      <c r="A2" s="2"/>
      <c r="B2" s="2" t="s">
        <v>25</v>
      </c>
      <c r="C2" s="2" t="s">
        <v>26</v>
      </c>
      <c r="D2" s="2"/>
      <c r="E2" s="2" t="s">
        <v>107</v>
      </c>
      <c r="F2" s="1" t="s">
        <v>135</v>
      </c>
      <c r="G2" s="1"/>
      <c r="H2" s="73" t="s">
        <v>27</v>
      </c>
      <c r="I2" s="73"/>
      <c r="J2" s="11"/>
      <c r="K2" s="11"/>
      <c r="L2" s="11"/>
      <c r="M2" s="11"/>
      <c r="N2" s="11"/>
    </row>
    <row r="3" spans="1:21" ht="15" customHeight="1" x14ac:dyDescent="0.25">
      <c r="A3" s="2" t="s">
        <v>108</v>
      </c>
      <c r="B3" s="33">
        <v>82.83</v>
      </c>
      <c r="C3" s="33">
        <v>80.680000000000007</v>
      </c>
      <c r="D3" s="54">
        <f>+(B3-C3)/B3</f>
        <v>2.5956778944826651E-2</v>
      </c>
      <c r="E3" s="54">
        <f>+ABS(D3)</f>
        <v>2.5956778944826651E-2</v>
      </c>
      <c r="F3" s="55">
        <f>E3/100%</f>
        <v>2.5956778944826651E-2</v>
      </c>
      <c r="G3" s="1"/>
      <c r="H3" s="13">
        <f>+E3/B3</f>
        <v>3.1337412706539483E-4</v>
      </c>
      <c r="I3" s="2" t="s">
        <v>28</v>
      </c>
    </row>
    <row r="4" spans="1:21" ht="20.25" customHeight="1" x14ac:dyDescent="0.25">
      <c r="A4" s="2" t="s">
        <v>101</v>
      </c>
      <c r="B4" s="33">
        <v>-14.24</v>
      </c>
      <c r="C4" s="33">
        <v>-13.01</v>
      </c>
      <c r="D4" s="12">
        <f>+(B4-C4)/B4</f>
        <v>8.6376404494382053E-2</v>
      </c>
      <c r="E4" s="12">
        <f>+ABS(D4)</f>
        <v>8.6376404494382053E-2</v>
      </c>
      <c r="F4" s="55">
        <f>E4/100%</f>
        <v>8.6376404494382053E-2</v>
      </c>
      <c r="G4" s="1"/>
      <c r="H4" s="13">
        <f>+E4/B4</f>
        <v>-6.0657587425830091E-3</v>
      </c>
      <c r="I4" s="2" t="s">
        <v>29</v>
      </c>
      <c r="M4">
        <f>-14.24-(-13.01)</f>
        <v>-1.2300000000000004</v>
      </c>
    </row>
    <row r="5" spans="1:21" ht="36" customHeight="1" x14ac:dyDescent="0.25">
      <c r="A5" s="2" t="s">
        <v>102</v>
      </c>
      <c r="B5" s="68">
        <v>-3.6</v>
      </c>
      <c r="C5" s="33">
        <v>-3.47</v>
      </c>
      <c r="D5" s="56">
        <f>+(B5-C5)/B5</f>
        <v>3.611111111111108E-2</v>
      </c>
      <c r="E5" s="12">
        <f>+ABS(D5)</f>
        <v>3.611111111111108E-2</v>
      </c>
      <c r="F5" s="55">
        <f>E5/100%</f>
        <v>3.611111111111108E-2</v>
      </c>
      <c r="G5" s="1"/>
      <c r="H5" s="13">
        <f>+E5/B5</f>
        <v>-1.0030864197530855E-2</v>
      </c>
      <c r="I5" s="2" t="s">
        <v>30</v>
      </c>
    </row>
    <row r="6" spans="1:21" ht="15" hidden="1" customHeight="1" x14ac:dyDescent="0.25"/>
    <row r="7" spans="1:21" ht="15" hidden="1" customHeight="1" x14ac:dyDescent="0.25">
      <c r="A7" s="14" t="s">
        <v>53</v>
      </c>
      <c r="B7" s="15">
        <f>SQRT(B4^2+B5^2)</f>
        <v>14.688008714594366</v>
      </c>
    </row>
    <row r="8" spans="1:21" ht="15" hidden="1" customHeight="1" x14ac:dyDescent="0.25">
      <c r="A8" s="14" t="s">
        <v>54</v>
      </c>
      <c r="B8" s="16">
        <f>SQRT(C4^2+C5^2)</f>
        <v>13.464805977064801</v>
      </c>
    </row>
    <row r="9" spans="1:21" ht="15" hidden="1" customHeight="1" x14ac:dyDescent="0.25">
      <c r="A9" s="14" t="s">
        <v>55</v>
      </c>
      <c r="B9" s="16">
        <f>MOD(ATAN2(B4,B5)*180/PI(),360)</f>
        <v>194.18761901931759</v>
      </c>
      <c r="F9" s="57">
        <f>E4/(1-E4)</f>
        <v>9.4542659492697953E-2</v>
      </c>
    </row>
    <row r="10" spans="1:21" ht="15" hidden="1" customHeight="1" x14ac:dyDescent="0.25">
      <c r="A10" s="14" t="s">
        <v>56</v>
      </c>
      <c r="B10" s="16">
        <f>MOD(ATAN2(C4,C5)*180/PI(),360)</f>
        <v>194.93415820954306</v>
      </c>
    </row>
    <row r="11" spans="1:21" ht="15" hidden="1" customHeight="1" x14ac:dyDescent="0.25">
      <c r="A11" s="14" t="s">
        <v>57</v>
      </c>
      <c r="B11" s="16">
        <f>B8-B7</f>
        <v>-1.2232027375295651</v>
      </c>
    </row>
    <row r="12" spans="1:21" ht="15" hidden="1" customHeight="1" x14ac:dyDescent="0.25">
      <c r="A12" s="14" t="s">
        <v>58</v>
      </c>
      <c r="B12" s="15">
        <f>SQRT(MAX(0,SQRT(D3^2+D4^2+D5^2)^2-D3^2-(B8-B7)^2))</f>
        <v>0</v>
      </c>
    </row>
    <row r="13" spans="1:21" ht="36" customHeight="1" x14ac:dyDescent="0.25">
      <c r="A13" s="14"/>
      <c r="B13" s="15"/>
    </row>
    <row r="14" spans="1:21" ht="36" customHeight="1" x14ac:dyDescent="0.25">
      <c r="B14" s="7"/>
      <c r="C14" s="7"/>
      <c r="D14" s="7" t="s">
        <v>31</v>
      </c>
      <c r="E14" s="7" t="s">
        <v>101</v>
      </c>
      <c r="F14" s="7" t="s">
        <v>102</v>
      </c>
      <c r="G14" s="7" t="s">
        <v>34</v>
      </c>
      <c r="H14" s="7" t="s">
        <v>35</v>
      </c>
      <c r="I14" s="7" t="s">
        <v>36</v>
      </c>
      <c r="J14" s="7" t="s">
        <v>37</v>
      </c>
      <c r="K14" s="7" t="s">
        <v>38</v>
      </c>
      <c r="L14" s="7" t="s">
        <v>39</v>
      </c>
      <c r="M14" s="7" t="s">
        <v>40</v>
      </c>
      <c r="N14" s="7" t="s">
        <v>41</v>
      </c>
      <c r="O14" s="7" t="s">
        <v>42</v>
      </c>
      <c r="P14" s="17" t="s">
        <v>59</v>
      </c>
      <c r="Q14" s="17" t="s">
        <v>60</v>
      </c>
      <c r="R14" s="17" t="s">
        <v>55</v>
      </c>
      <c r="S14" s="17" t="s">
        <v>56</v>
      </c>
      <c r="T14" s="17" t="s">
        <v>61</v>
      </c>
      <c r="U14" s="17" t="s">
        <v>58</v>
      </c>
    </row>
    <row r="15" spans="1:21" ht="19.5" customHeight="1" x14ac:dyDescent="0.25">
      <c r="B15" s="69" t="s">
        <v>6</v>
      </c>
      <c r="C15" s="7" t="s">
        <v>25</v>
      </c>
      <c r="D15" s="28">
        <v>82.83</v>
      </c>
      <c r="E15" s="28">
        <v>-14.24</v>
      </c>
      <c r="F15" s="28">
        <v>-3.6</v>
      </c>
      <c r="G15" s="69">
        <f>+(D15-D16)/D15</f>
        <v>2.5956778944826651E-2</v>
      </c>
      <c r="H15" s="69">
        <f>+(E15-E16)/E15</f>
        <v>8.6376404494382053E-2</v>
      </c>
      <c r="I15" s="69">
        <f>+(F15-F16)/F15</f>
        <v>3.611111111111108E-2</v>
      </c>
      <c r="J15" s="69">
        <f>+ABS(G15)</f>
        <v>2.5956778944826651E-2</v>
      </c>
      <c r="K15" s="69">
        <f>+ABS(H15)</f>
        <v>8.6376404494382053E-2</v>
      </c>
      <c r="L15" s="69">
        <f>+ABS(I15)</f>
        <v>3.611111111111108E-2</v>
      </c>
      <c r="M15" s="70">
        <f>+K15/F15</f>
        <v>-2.3993445692883902E-2</v>
      </c>
      <c r="N15" s="70">
        <f>+K15/E15</f>
        <v>-6.0657587425830091E-3</v>
      </c>
      <c r="O15" s="70">
        <f>+L15/F15</f>
        <v>-1.0030864197530855E-2</v>
      </c>
      <c r="P15" s="18">
        <f>SQRT(E15^2+F15^2)</f>
        <v>14.688008714594366</v>
      </c>
      <c r="Q15" s="18">
        <f>SQRT(E16^2+F16^2)</f>
        <v>13.464805977064801</v>
      </c>
      <c r="R15" s="18">
        <f>MOD(ATAN2(E15,F15)*180/PI(),360)</f>
        <v>194.18761901931759</v>
      </c>
      <c r="S15" s="18">
        <f>MOD(ATAN2(E16,F16)*180/PI(),360)</f>
        <v>194.93415820954306</v>
      </c>
      <c r="T15" s="18">
        <f>Q15-P15</f>
        <v>-1.2232027375295651</v>
      </c>
      <c r="U15" s="18">
        <f>SQRT(MAX(0,(SQRT(G15^2+H15^2+I15^2))^2-G15^2-T15^2))</f>
        <v>0</v>
      </c>
    </row>
    <row r="16" spans="1:21" ht="20.25" customHeight="1" x14ac:dyDescent="0.25">
      <c r="B16" s="69"/>
      <c r="C16" s="7" t="s">
        <v>26</v>
      </c>
      <c r="D16" s="28">
        <v>80.680000000000007</v>
      </c>
      <c r="E16" s="28">
        <v>-13.01</v>
      </c>
      <c r="F16" s="28">
        <v>-3.47</v>
      </c>
      <c r="G16" s="69"/>
      <c r="H16" s="69"/>
      <c r="I16" s="69"/>
      <c r="J16" s="69"/>
      <c r="K16" s="69"/>
      <c r="L16" s="69"/>
      <c r="M16" s="69"/>
      <c r="N16" s="69"/>
      <c r="O16" s="69"/>
      <c r="P16" s="7"/>
      <c r="Q16" s="7"/>
      <c r="R16" s="7"/>
      <c r="S16" s="7"/>
      <c r="T16" s="7"/>
      <c r="U16" s="7"/>
    </row>
    <row r="17" spans="2:21" ht="34.5" customHeight="1" x14ac:dyDescent="0.25">
      <c r="B17" s="69" t="s">
        <v>7</v>
      </c>
      <c r="C17" s="7" t="s">
        <v>25</v>
      </c>
      <c r="D17" s="28">
        <v>81.81</v>
      </c>
      <c r="E17" s="28">
        <v>-12.77</v>
      </c>
      <c r="F17" s="28">
        <v>5.0599999999999996</v>
      </c>
      <c r="G17" s="69">
        <f>+(D17-D18)/D17</f>
        <v>2.4813592470358161E-2</v>
      </c>
      <c r="H17" s="69">
        <f>+(E17-E18)/E17</f>
        <v>5.7165231010180145E-2</v>
      </c>
      <c r="I17" s="69">
        <f>+(F17-F18)/F17</f>
        <v>1.8557312252964429</v>
      </c>
      <c r="J17" s="69">
        <f>+ABS(G17)</f>
        <v>2.4813592470358161E-2</v>
      </c>
      <c r="K17" s="69">
        <f>+ABS(H17)</f>
        <v>5.7165231010180145E-2</v>
      </c>
      <c r="L17" s="69">
        <f>+ABS(I17)</f>
        <v>1.8557312252964429</v>
      </c>
      <c r="M17" s="70">
        <f>+J17/D17</f>
        <v>3.0330757206158365E-4</v>
      </c>
      <c r="N17" s="70">
        <f>+K17/E17</f>
        <v>-4.4765255293798076E-3</v>
      </c>
      <c r="O17" s="70">
        <f>+L17/F17</f>
        <v>0.36674530144198481</v>
      </c>
      <c r="P17" s="18">
        <f>SQRT(E17^2+F17^2)</f>
        <v>13.735956464695132</v>
      </c>
      <c r="Q17" s="18">
        <f>SQRT(E18^2+F18^2)</f>
        <v>12.794940406269971</v>
      </c>
      <c r="R17" s="18">
        <f>MOD(ATAN2(E17,F17)*180/PI(),360)</f>
        <v>158.38448937576115</v>
      </c>
      <c r="S17" s="18">
        <f>MOD(ATAN2(E18,F18)*180/PI(),360)</f>
        <v>199.7803378495789</v>
      </c>
      <c r="T17" s="18">
        <f>Q17-P17</f>
        <v>-0.94101605842516101</v>
      </c>
      <c r="U17" s="18">
        <f>SQRT(MAX(0,(SQRT(G17^2+H17^2+I17^2))^2-G17^2-T17^2))</f>
        <v>1.6004671261736865</v>
      </c>
    </row>
    <row r="18" spans="2:21" ht="33" customHeight="1" x14ac:dyDescent="0.25">
      <c r="B18" s="69"/>
      <c r="C18" s="7" t="s">
        <v>26</v>
      </c>
      <c r="D18" s="28">
        <v>79.78</v>
      </c>
      <c r="E18" s="28">
        <v>-12.04</v>
      </c>
      <c r="F18" s="28">
        <v>-4.33</v>
      </c>
      <c r="G18" s="69"/>
      <c r="H18" s="69"/>
      <c r="I18" s="69"/>
      <c r="J18" s="69"/>
      <c r="K18" s="69"/>
      <c r="L18" s="69"/>
      <c r="M18" s="69"/>
      <c r="N18" s="69"/>
      <c r="O18" s="69"/>
      <c r="P18" s="7"/>
      <c r="Q18" s="7"/>
      <c r="R18" s="7"/>
      <c r="S18" s="7"/>
      <c r="T18" s="7"/>
      <c r="U18" s="7"/>
    </row>
    <row r="19" spans="2:21" ht="29.25" customHeight="1" x14ac:dyDescent="0.25">
      <c r="B19" s="69" t="s">
        <v>32</v>
      </c>
      <c r="C19" s="7" t="s">
        <v>25</v>
      </c>
      <c r="D19" s="28">
        <v>80.94</v>
      </c>
      <c r="E19" s="28">
        <v>-15.03</v>
      </c>
      <c r="F19" s="28">
        <v>7.39</v>
      </c>
      <c r="G19" s="69">
        <f>+(D19-D20)/D19</f>
        <v>4.9419322955275513E-2</v>
      </c>
      <c r="H19" s="69">
        <f>+(E19-E20)/E19</f>
        <v>5.7884231536926095E-2</v>
      </c>
      <c r="I19" s="69">
        <f>+(F19-F20)/F19</f>
        <v>7.9837618403247615E-2</v>
      </c>
      <c r="J19" s="69">
        <f>+ABS(G19)</f>
        <v>4.9419322955275513E-2</v>
      </c>
      <c r="K19" s="69">
        <f>+ABS(H19)</f>
        <v>5.7884231536926095E-2</v>
      </c>
      <c r="L19" s="69">
        <f>+ABS(I19)</f>
        <v>7.9837618403247615E-2</v>
      </c>
      <c r="M19" s="70">
        <f>+J19/D19</f>
        <v>6.1056737033945529E-4</v>
      </c>
      <c r="N19" s="70">
        <f>+K19/E19</f>
        <v>-3.8512462765752562E-3</v>
      </c>
      <c r="O19" s="70">
        <f>+L19/F19</f>
        <v>1.0803466631021328E-2</v>
      </c>
      <c r="P19" s="18">
        <f>SQRT(E19^2+F19^2)</f>
        <v>16.748522322879712</v>
      </c>
      <c r="Q19" s="18">
        <f>SQRT(E20^2+F20^2)</f>
        <v>15.708138018237554</v>
      </c>
      <c r="R19" s="18">
        <f>MOD(ATAN2(E19,F19)*180/PI(),360)</f>
        <v>153.81742498074178</v>
      </c>
      <c r="S19" s="18">
        <f>MOD(ATAN2(E20,F20)*180/PI(),360)</f>
        <v>154.34847153494744</v>
      </c>
      <c r="T19" s="18">
        <f>Q19-P19</f>
        <v>-1.0403843046421581</v>
      </c>
      <c r="U19" s="18">
        <f>SQRT(MAX(0,(SQRT(G19^2+H19^2+I19^2))^2-G19^2-T19^2))</f>
        <v>0</v>
      </c>
    </row>
    <row r="20" spans="2:21" ht="28.5" customHeight="1" x14ac:dyDescent="0.25">
      <c r="B20" s="69"/>
      <c r="C20" s="7" t="s">
        <v>26</v>
      </c>
      <c r="D20" s="28">
        <v>76.94</v>
      </c>
      <c r="E20" s="28">
        <v>-14.16</v>
      </c>
      <c r="F20" s="28">
        <v>6.8</v>
      </c>
      <c r="G20" s="69"/>
      <c r="H20" s="69"/>
      <c r="I20" s="69"/>
      <c r="J20" s="69"/>
      <c r="K20" s="69"/>
      <c r="L20" s="69"/>
      <c r="M20" s="69"/>
      <c r="N20" s="69"/>
      <c r="O20" s="69"/>
      <c r="P20" s="7"/>
      <c r="Q20" s="7"/>
      <c r="R20" s="7"/>
      <c r="S20" s="7"/>
      <c r="T20" s="7"/>
      <c r="U20" s="7"/>
    </row>
    <row r="21" spans="2:21" ht="30.75" customHeight="1" x14ac:dyDescent="0.25"/>
    <row r="22" spans="2:21" ht="57" customHeight="1" x14ac:dyDescent="0.25">
      <c r="B22" s="7" t="s">
        <v>31</v>
      </c>
      <c r="C22" s="7" t="s">
        <v>32</v>
      </c>
      <c r="D22" s="7" t="s">
        <v>33</v>
      </c>
    </row>
    <row r="23" spans="2:21" ht="61.5" customHeight="1" x14ac:dyDescent="0.25">
      <c r="B23" s="7" t="s">
        <v>109</v>
      </c>
      <c r="C23" s="7" t="s">
        <v>109</v>
      </c>
      <c r="D23" s="7" t="s">
        <v>110</v>
      </c>
    </row>
    <row r="24" spans="2:21" ht="46.5" customHeight="1" x14ac:dyDescent="0.25">
      <c r="B24" s="7"/>
      <c r="C24" s="7"/>
      <c r="D24" s="7"/>
    </row>
    <row r="25" spans="2:21" x14ac:dyDescent="0.25">
      <c r="B25" s="7" t="s">
        <v>109</v>
      </c>
      <c r="C25" s="7" t="s">
        <v>109</v>
      </c>
      <c r="D25" s="7" t="s">
        <v>110</v>
      </c>
    </row>
    <row r="37" spans="1:18" ht="15.75" thickBot="1" x14ac:dyDescent="0.3"/>
    <row r="38" spans="1:18" ht="16.5" thickBot="1" x14ac:dyDescent="0.3">
      <c r="F38" s="58" t="s">
        <v>111</v>
      </c>
      <c r="I38" s="71" t="s">
        <v>112</v>
      </c>
      <c r="L38" t="s">
        <v>113</v>
      </c>
      <c r="M38" s="59"/>
      <c r="N38" s="59"/>
      <c r="O38" s="60" t="s">
        <v>79</v>
      </c>
      <c r="P38" s="61" t="s">
        <v>114</v>
      </c>
      <c r="Q38" s="61" t="s">
        <v>115</v>
      </c>
      <c r="R38" s="61" t="s">
        <v>116</v>
      </c>
    </row>
    <row r="39" spans="1:18" ht="16.5" thickBot="1" x14ac:dyDescent="0.3">
      <c r="B39" t="s">
        <v>103</v>
      </c>
      <c r="C39" t="s">
        <v>104</v>
      </c>
      <c r="D39" t="s">
        <v>105</v>
      </c>
      <c r="F39" s="58" t="s">
        <v>117</v>
      </c>
      <c r="I39" s="71"/>
      <c r="L39" t="s">
        <v>118</v>
      </c>
      <c r="M39" s="62"/>
      <c r="N39" s="62"/>
      <c r="O39" s="63" t="s">
        <v>32</v>
      </c>
      <c r="P39" s="64" t="s">
        <v>119</v>
      </c>
      <c r="Q39" s="64" t="s">
        <v>120</v>
      </c>
      <c r="R39" s="63" t="s">
        <v>121</v>
      </c>
    </row>
    <row r="40" spans="1:18" ht="16.5" thickBot="1" x14ac:dyDescent="0.3">
      <c r="A40" t="s">
        <v>122</v>
      </c>
      <c r="B40" t="s">
        <v>123</v>
      </c>
      <c r="C40" t="s">
        <v>123</v>
      </c>
      <c r="D40" t="s">
        <v>123</v>
      </c>
      <c r="F40" s="58" t="s">
        <v>124</v>
      </c>
      <c r="I40" s="71" t="s">
        <v>125</v>
      </c>
      <c r="L40" t="s">
        <v>126</v>
      </c>
      <c r="M40" s="62"/>
      <c r="N40" s="62"/>
      <c r="O40" s="63" t="s">
        <v>33</v>
      </c>
      <c r="P40" s="64" t="s">
        <v>127</v>
      </c>
      <c r="Q40" s="64" t="s">
        <v>119</v>
      </c>
      <c r="R40" s="65"/>
    </row>
    <row r="41" spans="1:18" ht="16.5" thickBot="1" x14ac:dyDescent="0.3">
      <c r="B41" t="s">
        <v>128</v>
      </c>
      <c r="C41" t="s">
        <v>123</v>
      </c>
      <c r="D41" t="s">
        <v>123</v>
      </c>
      <c r="F41" s="58" t="s">
        <v>129</v>
      </c>
      <c r="I41" s="71"/>
      <c r="L41" t="s">
        <v>130</v>
      </c>
      <c r="M41" s="62"/>
      <c r="N41" s="62"/>
      <c r="O41" s="66" t="s">
        <v>131</v>
      </c>
      <c r="P41" s="64" t="s">
        <v>120</v>
      </c>
      <c r="Q41" s="64" t="s">
        <v>120</v>
      </c>
      <c r="R41" s="64" t="s">
        <v>119</v>
      </c>
    </row>
    <row r="42" spans="1:18" x14ac:dyDescent="0.25">
      <c r="A42" t="s">
        <v>132</v>
      </c>
      <c r="B42" t="s">
        <v>123</v>
      </c>
      <c r="C42" t="s">
        <v>128</v>
      </c>
      <c r="D42" t="s">
        <v>123</v>
      </c>
    </row>
    <row r="44" spans="1:18" x14ac:dyDescent="0.25">
      <c r="B44" t="s">
        <v>133</v>
      </c>
      <c r="D44" t="s">
        <v>134</v>
      </c>
    </row>
  </sheetData>
  <mergeCells count="34">
    <mergeCell ref="N19:N20"/>
    <mergeCell ref="O19:O20"/>
    <mergeCell ref="H2:I2"/>
    <mergeCell ref="L17:L18"/>
    <mergeCell ref="M17:M18"/>
    <mergeCell ref="N17:N18"/>
    <mergeCell ref="O17:O18"/>
    <mergeCell ref="K19:K20"/>
    <mergeCell ref="L15:L16"/>
    <mergeCell ref="M15:M16"/>
    <mergeCell ref="N15:N16"/>
    <mergeCell ref="O15:O16"/>
    <mergeCell ref="K17:K18"/>
    <mergeCell ref="K15:K16"/>
    <mergeCell ref="I38:I39"/>
    <mergeCell ref="I40:I41"/>
    <mergeCell ref="A1:E1"/>
    <mergeCell ref="B17:B18"/>
    <mergeCell ref="G17:G18"/>
    <mergeCell ref="H17:H18"/>
    <mergeCell ref="I17:I18"/>
    <mergeCell ref="I15:I16"/>
    <mergeCell ref="M19:M20"/>
    <mergeCell ref="B19:B20"/>
    <mergeCell ref="G19:G20"/>
    <mergeCell ref="J19:J20"/>
    <mergeCell ref="H19:H20"/>
    <mergeCell ref="I19:I20"/>
    <mergeCell ref="J17:J18"/>
    <mergeCell ref="B15:B16"/>
    <mergeCell ref="G15:G16"/>
    <mergeCell ref="H15:H16"/>
    <mergeCell ref="L19:L20"/>
    <mergeCell ref="J15:J16"/>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E7DF8-3200-46CC-8D04-8DEE3E3EFF1F}">
  <dimension ref="D2:Q44"/>
  <sheetViews>
    <sheetView showGridLines="0" topLeftCell="C1" zoomScaleNormal="100" workbookViewId="0">
      <selection activeCell="K45" sqref="K45"/>
    </sheetView>
  </sheetViews>
  <sheetFormatPr defaultColWidth="14" defaultRowHeight="15" x14ac:dyDescent="0.25"/>
  <cols>
    <col min="1" max="4" width="9.140625" style="1" customWidth="1"/>
    <col min="5" max="5" width="21.140625" style="1" customWidth="1"/>
    <col min="6" max="6" width="14.42578125" style="1" customWidth="1"/>
    <col min="7" max="7" width="21.28515625" style="1" customWidth="1"/>
    <col min="8" max="8" width="13" style="1" customWidth="1"/>
    <col min="9" max="9" width="9.140625" style="1" customWidth="1"/>
    <col min="10" max="10" width="19.140625" style="1" customWidth="1"/>
    <col min="11" max="12" width="18.28515625" style="1" customWidth="1"/>
    <col min="13" max="13" width="12" style="1" customWidth="1"/>
    <col min="14" max="14" width="14" style="1"/>
    <col min="15" max="15" width="33.140625" style="1" customWidth="1"/>
    <col min="16" max="17" width="0" style="1" hidden="1" customWidth="1"/>
    <col min="18" max="18" width="14" style="1"/>
    <col min="19" max="20" width="0" style="1" hidden="1" customWidth="1"/>
    <col min="21" max="16384" width="14" style="1"/>
  </cols>
  <sheetData>
    <row r="2" spans="4:15" ht="15" customHeight="1" x14ac:dyDescent="0.25">
      <c r="E2" s="73" t="s">
        <v>48</v>
      </c>
      <c r="F2" s="73"/>
      <c r="G2" s="73"/>
      <c r="H2" s="73"/>
      <c r="I2" s="73"/>
    </row>
    <row r="3" spans="4:15" x14ac:dyDescent="0.2">
      <c r="E3" s="2"/>
      <c r="F3" s="2" t="s">
        <v>0</v>
      </c>
      <c r="G3" s="2"/>
      <c r="H3" s="2"/>
      <c r="I3" s="2"/>
      <c r="M3" s="19" t="s">
        <v>55</v>
      </c>
      <c r="N3" s="19" t="s">
        <v>56</v>
      </c>
      <c r="O3" s="19" t="s">
        <v>62</v>
      </c>
    </row>
    <row r="4" spans="4:15" ht="15" customHeight="1" x14ac:dyDescent="0.25">
      <c r="E4" s="2"/>
      <c r="F4" s="2" t="s">
        <v>1</v>
      </c>
      <c r="G4" s="2" t="s">
        <v>2</v>
      </c>
      <c r="H4" s="2" t="s">
        <v>3</v>
      </c>
      <c r="I4" s="2" t="s">
        <v>0</v>
      </c>
      <c r="J4" s="2" t="s">
        <v>4</v>
      </c>
      <c r="K4" s="10" t="s">
        <v>5</v>
      </c>
      <c r="L4" s="10" t="s">
        <v>100</v>
      </c>
      <c r="M4" s="2"/>
      <c r="N4" s="2"/>
      <c r="O4" s="2"/>
    </row>
    <row r="5" spans="4:15" ht="20.25" customHeight="1" x14ac:dyDescent="0.2">
      <c r="E5" s="82" t="s">
        <v>6</v>
      </c>
      <c r="F5" s="79">
        <v>-0.78</v>
      </c>
      <c r="G5" s="79">
        <v>-0.86</v>
      </c>
      <c r="H5" s="81">
        <v>0.17</v>
      </c>
      <c r="I5" s="77">
        <v>1.17</v>
      </c>
      <c r="J5" s="89">
        <f>+ABS(F5*10)</f>
        <v>7.8000000000000007</v>
      </c>
      <c r="K5" s="88">
        <f>+ABS(G5*10)</f>
        <v>8.6</v>
      </c>
      <c r="L5" s="88">
        <f>+ABS(H5*10)</f>
        <v>1.7000000000000002</v>
      </c>
      <c r="M5" s="20">
        <f>MOD(ATAN2('[1]CALCULO SAMPLE COMPARISON '!E14,'[1]CALCULO SAMPLE COMPARISON '!F14)*180/PI(),360)</f>
        <v>194.18761901931759</v>
      </c>
      <c r="N5" s="20">
        <f>MOD(ATAN2('[1]CALCULO SAMPLE COMPARISON '!E15,'[1]CALCULO SAMPLE COMPARISON '!F15)*180/PI(),360)</f>
        <v>194.93415820954306</v>
      </c>
      <c r="O5" s="21">
        <f>SQRT(MAX(0,(('[1]CALCULO SAMPLE COMPARISON '!D15-'[1]CALCULO SAMPLE COMPARISON '!D14)^2+('[1]CALCULO SAMPLE COMPARISON '!E15-'[1]CALCULO SAMPLE COMPARISON '!E14)^2+('[1]CALCULO SAMPLE COMPARISON '!F15-'[1]CALCULO SAMPLE COMPARISON '!F14)^2)-('[1]CALCULO SAMPLE COMPARISON '!D15-'[1]CALCULO SAMPLE COMPARISON '!D14)^2-(SQRT('[1]CALCULO SAMPLE COMPARISON '!E15^2+'[1]CALCULO SAMPLE COMPARISON '!F15^2)-SQRT('[1]CALCULO SAMPLE COMPARISON '!E14^2+'[1]CALCULO SAMPLE COMPARISON '!F14^2))^2))</f>
        <v>0.1832349936561751</v>
      </c>
    </row>
    <row r="6" spans="4:15" ht="20.25" customHeight="1" x14ac:dyDescent="0.25">
      <c r="E6" s="82"/>
      <c r="F6" s="80"/>
      <c r="G6" s="80"/>
      <c r="H6" s="80"/>
      <c r="I6" s="78"/>
      <c r="J6" s="89"/>
      <c r="K6" s="88"/>
      <c r="L6" s="88"/>
      <c r="M6" s="2"/>
      <c r="N6" s="2"/>
      <c r="O6" s="2"/>
    </row>
    <row r="7" spans="4:15" ht="15" customHeight="1" x14ac:dyDescent="0.2">
      <c r="E7" s="73" t="s">
        <v>7</v>
      </c>
      <c r="F7" s="74">
        <v>-0.74</v>
      </c>
      <c r="G7" s="76">
        <v>-0.54</v>
      </c>
      <c r="H7" s="76">
        <v>0.1</v>
      </c>
      <c r="I7" s="75">
        <v>0.92</v>
      </c>
      <c r="J7" s="90">
        <f>+ABS(F7*10)</f>
        <v>7.4</v>
      </c>
      <c r="K7" s="91">
        <f>+ABS(G7*10)</f>
        <v>5.4</v>
      </c>
      <c r="L7" s="91">
        <f>+ABS(H7*10)</f>
        <v>1</v>
      </c>
      <c r="M7" s="20">
        <f>MOD(ATAN2('[1]CALCULO SAMPLE COMPARISON '!E16,'[1]CALCULO SAMPLE COMPARISON '!F16)*180/PI(),360)</f>
        <v>158.38448937576115</v>
      </c>
      <c r="N7" s="20">
        <f>MOD(ATAN2('[1]CALCULO SAMPLE COMPARISON '!E17,'[1]CALCULO SAMPLE COMPARISON '!F17)*180/PI(),360)</f>
        <v>199.7803378495789</v>
      </c>
      <c r="O7" s="21">
        <f>SQRT(MAX(0,(('[1]CALCULO SAMPLE COMPARISON '!D17-'[1]CALCULO SAMPLE COMPARISON '!D16)^2+('[1]CALCULO SAMPLE COMPARISON '!E17-'[1]CALCULO SAMPLE COMPARISON '!E16)^2+('[1]CALCULO SAMPLE COMPARISON '!F17-'[1]CALCULO SAMPLE COMPARISON '!F16)^2)-('[1]CALCULO SAMPLE COMPARISON '!D17-'[1]CALCULO SAMPLE COMPARISON '!D16)^2-(SQRT('[1]CALCULO SAMPLE COMPARISON '!E17^2+'[1]CALCULO SAMPLE COMPARISON '!F17^2)-SQRT('[1]CALCULO SAMPLE COMPARISON '!E16^2+'[1]CALCULO SAMPLE COMPARISON '!F16^2))^2))</f>
        <v>9.371205300162087</v>
      </c>
    </row>
    <row r="8" spans="4:15" ht="15" customHeight="1" x14ac:dyDescent="0.25">
      <c r="E8" s="73"/>
      <c r="F8" s="75"/>
      <c r="G8" s="75"/>
      <c r="H8" s="75"/>
      <c r="I8" s="75"/>
      <c r="J8" s="90"/>
      <c r="K8" s="91"/>
      <c r="L8" s="91"/>
      <c r="M8" s="2"/>
      <c r="N8" s="2"/>
      <c r="O8" s="2"/>
    </row>
    <row r="9" spans="4:15" ht="15" customHeight="1" x14ac:dyDescent="0.2">
      <c r="E9" s="73" t="s">
        <v>8</v>
      </c>
      <c r="F9" s="74">
        <v>-0.73</v>
      </c>
      <c r="G9" s="76">
        <v>-0.68</v>
      </c>
      <c r="H9" s="76">
        <v>-0.12</v>
      </c>
      <c r="I9" s="75">
        <v>1.01</v>
      </c>
      <c r="J9" s="90">
        <f>+ABS(F9*10)</f>
        <v>7.3</v>
      </c>
      <c r="K9" s="91">
        <f>+ABS(G9*10)</f>
        <v>6.8000000000000007</v>
      </c>
      <c r="L9" s="91">
        <f>+ABS(H9*10)</f>
        <v>1.2</v>
      </c>
      <c r="M9" s="20">
        <f>MOD(ATAN2('[1]CALCULO SAMPLE COMPARISON '!E18,'[1]CALCULO SAMPLE COMPARISON '!F18)*180/PI(),360)</f>
        <v>153.81742498074178</v>
      </c>
      <c r="N9" s="20">
        <f>MOD(ATAN2('[1]CALCULO SAMPLE COMPARISON '!E19,'[1]CALCULO SAMPLE COMPARISON '!F19)*180/PI(),360)</f>
        <v>154.34847153494744</v>
      </c>
      <c r="O9" s="21">
        <f>SQRT(MAX(0,(('[1]CALCULO SAMPLE COMPARISON '!D19-'[1]CALCULO SAMPLE COMPARISON '!D18)^2+('[1]CALCULO SAMPLE COMPARISON '!E19-'[1]CALCULO SAMPLE COMPARISON '!E18)^2+('[1]CALCULO SAMPLE COMPARISON '!F19-'[1]CALCULO SAMPLE COMPARISON '!F18)^2)-('[1]CALCULO SAMPLE COMPARISON '!D19-'[1]CALCULO SAMPLE COMPARISON '!D18)^2-(SQRT('[1]CALCULO SAMPLE COMPARISON '!E19^2+'[1]CALCULO SAMPLE COMPARISON '!F19^2)-SQRT('[1]CALCULO SAMPLE COMPARISON '!E18^2+'[1]CALCULO SAMPLE COMPARISON '!F18^2))^2))</f>
        <v>0.15033462227394542</v>
      </c>
    </row>
    <row r="10" spans="4:15" ht="15" customHeight="1" x14ac:dyDescent="0.25">
      <c r="E10" s="73"/>
      <c r="F10" s="75"/>
      <c r="G10" s="75"/>
      <c r="H10" s="75"/>
      <c r="I10" s="75"/>
      <c r="J10" s="90"/>
      <c r="K10" s="91"/>
      <c r="L10" s="91"/>
      <c r="M10" s="2"/>
      <c r="N10" s="2"/>
      <c r="O10" s="2"/>
    </row>
    <row r="11" spans="4:15" ht="15" customHeight="1" x14ac:dyDescent="0.25">
      <c r="F11" s="22"/>
      <c r="G11" s="9"/>
      <c r="H11" s="9"/>
    </row>
    <row r="12" spans="4:15" ht="15" customHeight="1" x14ac:dyDescent="0.25">
      <c r="E12" s="85" t="s">
        <v>46</v>
      </c>
      <c r="F12" s="86"/>
      <c r="G12" s="86"/>
      <c r="H12" s="86"/>
      <c r="I12" s="86"/>
      <c r="J12" s="86"/>
      <c r="K12" s="86"/>
      <c r="L12" s="86"/>
      <c r="M12" s="86"/>
      <c r="N12" s="86"/>
      <c r="O12" s="87"/>
    </row>
    <row r="13" spans="4:15" x14ac:dyDescent="0.25">
      <c r="E13" s="73" t="s">
        <v>47</v>
      </c>
      <c r="F13" s="73"/>
      <c r="G13" s="73"/>
      <c r="H13" s="73"/>
      <c r="I13" s="73"/>
      <c r="J13" s="85" t="s">
        <v>19</v>
      </c>
      <c r="K13" s="86"/>
      <c r="L13" s="86"/>
      <c r="M13" s="86"/>
      <c r="N13" s="86"/>
      <c r="O13" s="87"/>
    </row>
    <row r="14" spans="4:15" x14ac:dyDescent="0.2">
      <c r="E14" s="2"/>
      <c r="F14" s="73" t="s">
        <v>49</v>
      </c>
      <c r="G14" s="73"/>
      <c r="H14" s="73" t="s">
        <v>43</v>
      </c>
      <c r="I14" s="73"/>
      <c r="J14" s="73" t="s">
        <v>17</v>
      </c>
      <c r="K14" s="73"/>
      <c r="L14" s="2"/>
      <c r="M14" s="26" t="s">
        <v>63</v>
      </c>
      <c r="N14" s="26" t="s">
        <v>58</v>
      </c>
      <c r="O14" s="26" t="s">
        <v>69</v>
      </c>
    </row>
    <row r="15" spans="4:15" ht="15" customHeight="1" x14ac:dyDescent="0.2">
      <c r="D15" s="83"/>
      <c r="E15" s="29" t="s">
        <v>12</v>
      </c>
      <c r="F15" s="30">
        <v>1.1782600000000001</v>
      </c>
      <c r="G15" s="23">
        <f>+$F$15/$F$18</f>
        <v>0.60805259681281476</v>
      </c>
      <c r="H15" s="4">
        <f>+F15*(1-$J$5/100)</f>
        <v>1.08635572</v>
      </c>
      <c r="I15" s="23">
        <f>H15/$H$18</f>
        <v>0.60805259681281476</v>
      </c>
      <c r="J15" s="4">
        <f>+$H$15*(1-$K$5/100)</f>
        <v>0.99292912808000011</v>
      </c>
      <c r="K15" s="23">
        <f>+$J$15/$J$18</f>
        <v>0.60805259681281487</v>
      </c>
      <c r="L15" s="23"/>
      <c r="M15" s="26" t="s">
        <v>55</v>
      </c>
      <c r="N15" s="26" t="s">
        <v>56</v>
      </c>
      <c r="O15" s="26"/>
    </row>
    <row r="16" spans="4:15" ht="15" customHeight="1" x14ac:dyDescent="0.25">
      <c r="D16" s="83"/>
      <c r="E16" s="29" t="s">
        <v>13</v>
      </c>
      <c r="F16" s="30">
        <v>0.38450000000000001</v>
      </c>
      <c r="G16" s="23">
        <f>+$F$16/$F$18</f>
        <v>0.19842498555032614</v>
      </c>
      <c r="H16" s="4">
        <f>+$F$16*(1-$J$5/100)</f>
        <v>0.35450899999999996</v>
      </c>
      <c r="I16" s="23">
        <f>H16/$H$18</f>
        <v>0.19842498555032614</v>
      </c>
      <c r="J16" s="4">
        <f>+$H$16*(1-$K$5/100)</f>
        <v>0.324021226</v>
      </c>
      <c r="K16" s="23">
        <f>+$J$16/$J$18</f>
        <v>0.19842498555032614</v>
      </c>
      <c r="L16" s="23"/>
      <c r="M16" s="2"/>
      <c r="N16" s="2"/>
      <c r="O16" s="2"/>
    </row>
    <row r="17" spans="4:17" ht="15" customHeight="1" x14ac:dyDescent="0.25">
      <c r="D17" s="83"/>
      <c r="E17" s="29" t="s">
        <v>14</v>
      </c>
      <c r="F17" s="30">
        <v>0.375</v>
      </c>
      <c r="G17" s="23">
        <f>+F17/$F$18</f>
        <v>0.19352241763685904</v>
      </c>
      <c r="H17" s="4">
        <f>+$F$17*(1-$J$5/100)</f>
        <v>0.34575</v>
      </c>
      <c r="I17" s="23">
        <f>H17/$H$18</f>
        <v>0.19352241763685907</v>
      </c>
      <c r="J17" s="4">
        <f>+$H$17*(1-$K$5/100)</f>
        <v>0.3160155</v>
      </c>
      <c r="K17" s="23">
        <f>+$J$17/$J$18</f>
        <v>0.19352241763685904</v>
      </c>
      <c r="L17" s="23"/>
      <c r="M17" s="2"/>
      <c r="N17" s="2"/>
      <c r="O17" s="2"/>
    </row>
    <row r="18" spans="4:17" ht="15" customHeight="1" x14ac:dyDescent="0.2">
      <c r="D18" s="83"/>
      <c r="E18" s="2" t="s">
        <v>15</v>
      </c>
      <c r="F18" s="24">
        <f>SUM(F15:F17)</f>
        <v>1.9377600000000001</v>
      </c>
      <c r="G18" s="3">
        <f>SUM(G15:G17)</f>
        <v>1</v>
      </c>
      <c r="H18" s="24">
        <f>SUM($H$15:$H$17)</f>
        <v>1.78661472</v>
      </c>
      <c r="I18" s="3">
        <f>SUM(I15:I17)</f>
        <v>1</v>
      </c>
      <c r="J18" s="24">
        <f>SUM($J$15:$J$17)</f>
        <v>1.6329658540800001</v>
      </c>
      <c r="K18" s="3">
        <f>SUM($K$15:$K$17)</f>
        <v>1</v>
      </c>
      <c r="L18" s="3"/>
      <c r="M18" s="20">
        <f>M5</f>
        <v>194.18761901931759</v>
      </c>
      <c r="N18" s="20">
        <f>N5</f>
        <v>194.93415820954306</v>
      </c>
      <c r="O18" s="20">
        <f>O5</f>
        <v>0.1832349936561751</v>
      </c>
    </row>
    <row r="19" spans="4:17" ht="15" customHeight="1" x14ac:dyDescent="0.2">
      <c r="D19" s="83"/>
      <c r="E19" s="2" t="s">
        <v>16</v>
      </c>
      <c r="F19" s="2"/>
      <c r="G19" s="2"/>
      <c r="H19" s="53">
        <f>+H18/F18-1</f>
        <v>-7.8000000000000069E-2</v>
      </c>
      <c r="I19" s="2"/>
      <c r="J19" s="23">
        <f>+$J$18/$I$18-1</f>
        <v>0.63296585408000006</v>
      </c>
      <c r="K19" s="2"/>
      <c r="L19" s="2"/>
      <c r="M19" s="2"/>
      <c r="N19" s="2"/>
      <c r="O19" s="19"/>
      <c r="P19" s="27"/>
    </row>
    <row r="21" spans="4:17" ht="15" customHeight="1" x14ac:dyDescent="0.25">
      <c r="E21" s="84" t="s">
        <v>50</v>
      </c>
      <c r="F21" s="72"/>
      <c r="G21" s="72"/>
      <c r="H21" s="72"/>
      <c r="I21" s="72"/>
      <c r="J21" s="72"/>
      <c r="K21" s="72"/>
      <c r="L21" s="72"/>
      <c r="M21" s="72"/>
      <c r="N21" s="72"/>
      <c r="O21" s="72"/>
      <c r="P21" s="72"/>
      <c r="Q21" s="72"/>
    </row>
    <row r="22" spans="4:17" x14ac:dyDescent="0.2">
      <c r="E22" s="2"/>
      <c r="F22" s="73" t="s">
        <v>9</v>
      </c>
      <c r="G22" s="73"/>
      <c r="H22" s="73" t="s">
        <v>10</v>
      </c>
      <c r="I22" s="73"/>
      <c r="J22" s="73" t="s">
        <v>11</v>
      </c>
      <c r="K22" s="73"/>
      <c r="L22" s="2"/>
      <c r="M22" s="73" t="s">
        <v>70</v>
      </c>
      <c r="N22" s="73"/>
      <c r="O22" s="26" t="s">
        <v>55</v>
      </c>
      <c r="P22" s="26" t="s">
        <v>56</v>
      </c>
      <c r="Q22" s="26" t="s">
        <v>58</v>
      </c>
    </row>
    <row r="23" spans="4:17" ht="15" customHeight="1" x14ac:dyDescent="0.25">
      <c r="D23" s="83"/>
      <c r="E23" s="29" t="s">
        <v>12</v>
      </c>
      <c r="F23" s="30">
        <v>1.1782600000000001</v>
      </c>
      <c r="G23" s="23">
        <f>+F23/$F$26</f>
        <v>0.60805259681281476</v>
      </c>
      <c r="H23" s="4">
        <f>+$F$23*(1-$J$7/100)</f>
        <v>1.09106876</v>
      </c>
      <c r="I23" s="23">
        <f>H23/$H$26</f>
        <v>0.60805259681281476</v>
      </c>
      <c r="J23" s="4">
        <f>+$H$23*(1-$K$7/100)</f>
        <v>1.0321510469599999</v>
      </c>
      <c r="K23" s="23">
        <f>+$J$23/$J$26</f>
        <v>0.60805259681281476</v>
      </c>
      <c r="L23" s="23"/>
      <c r="M23" s="4">
        <f>+$H$15*(1-$K$7/100)</f>
        <v>1.0276925111199999</v>
      </c>
      <c r="N23" s="23">
        <f>+M23/$J$26</f>
        <v>0.60542601972075083</v>
      </c>
      <c r="O23" s="2"/>
      <c r="P23" s="2"/>
      <c r="Q23" s="2"/>
    </row>
    <row r="24" spans="4:17" ht="15" customHeight="1" x14ac:dyDescent="0.25">
      <c r="D24" s="83"/>
      <c r="E24" s="29" t="s">
        <v>13</v>
      </c>
      <c r="F24" s="30">
        <v>0.38450000000000001</v>
      </c>
      <c r="G24" s="23">
        <f>+F24/$F$26</f>
        <v>0.19842498555032614</v>
      </c>
      <c r="H24" s="4">
        <f>+$F$24*(1-$J$7/100)</f>
        <v>0.356047</v>
      </c>
      <c r="I24" s="23">
        <f>H24/$H$26</f>
        <v>0.19842498555032614</v>
      </c>
      <c r="J24" s="4">
        <f>+$H$24*(1-$K$7/100)</f>
        <v>0.33682046199999999</v>
      </c>
      <c r="K24" s="23">
        <f>+$J$24/$J$26</f>
        <v>0.19842498555032614</v>
      </c>
      <c r="L24" s="23"/>
      <c r="M24" s="4">
        <f>$H$16*(1-$K$7/100)</f>
        <v>0.33536551399999998</v>
      </c>
      <c r="N24" s="23">
        <f>+M24/$J$26</f>
        <v>0.19756785818293812</v>
      </c>
      <c r="O24" s="2"/>
      <c r="P24" s="2"/>
      <c r="Q24" s="2"/>
    </row>
    <row r="25" spans="4:17" ht="15" customHeight="1" x14ac:dyDescent="0.25">
      <c r="D25" s="83"/>
      <c r="E25" s="29" t="s">
        <v>14</v>
      </c>
      <c r="F25" s="30">
        <v>0.375</v>
      </c>
      <c r="G25" s="23">
        <f>+F25/$F$26</f>
        <v>0.19352241763685904</v>
      </c>
      <c r="H25" s="4">
        <f>+$F$25*(1-$J$7/100)</f>
        <v>0.34724999999999995</v>
      </c>
      <c r="I25" s="23">
        <f>H25/$H$26</f>
        <v>0.19352241763685901</v>
      </c>
      <c r="J25" s="4">
        <f>+$H$25*(1-$K$7/100)</f>
        <v>0.32849849999999992</v>
      </c>
      <c r="K25" s="23">
        <f>+$J$25/$J$26</f>
        <v>0.19352241763685901</v>
      </c>
      <c r="L25" s="23"/>
      <c r="M25" s="4">
        <f>+$H$17*(1-$K$7/100)</f>
        <v>0.32707949999999997</v>
      </c>
      <c r="N25" s="23">
        <f>+M25/$J$26</f>
        <v>0.19268646766866526</v>
      </c>
      <c r="O25" s="2"/>
      <c r="P25" s="2"/>
      <c r="Q25" s="2"/>
    </row>
    <row r="26" spans="4:17" ht="15" customHeight="1" x14ac:dyDescent="0.2">
      <c r="D26" s="83"/>
      <c r="E26" s="2" t="s">
        <v>15</v>
      </c>
      <c r="F26" s="24">
        <f>SUM(F23:F25)</f>
        <v>1.9377600000000001</v>
      </c>
      <c r="G26" s="3">
        <f>SUM(G23:G25)</f>
        <v>1</v>
      </c>
      <c r="H26" s="4">
        <f>+$F$26*(1-$J$7/100)</f>
        <v>1.79436576</v>
      </c>
      <c r="I26" s="3">
        <f>SUM(I23:I25)</f>
        <v>1</v>
      </c>
      <c r="J26" s="24">
        <f>SUM(J23:J25)</f>
        <v>1.6974700089599999</v>
      </c>
      <c r="K26" s="3">
        <f>SUM(K23:K25)</f>
        <v>1</v>
      </c>
      <c r="L26" s="3"/>
      <c r="M26" s="24">
        <f>SUM(M23:M25)</f>
        <v>1.6901375251199999</v>
      </c>
      <c r="N26" s="3">
        <f>SUM(N23:N25)</f>
        <v>0.99568034557235419</v>
      </c>
      <c r="O26" s="26">
        <f>M7</f>
        <v>158.38448937576115</v>
      </c>
      <c r="P26" s="26">
        <f>N7</f>
        <v>199.7803378495789</v>
      </c>
      <c r="Q26" s="26">
        <f>O7</f>
        <v>9.371205300162087</v>
      </c>
    </row>
    <row r="27" spans="4:17" ht="15" customHeight="1" x14ac:dyDescent="0.2">
      <c r="D27" s="83"/>
      <c r="E27" s="2" t="s">
        <v>16</v>
      </c>
      <c r="F27" s="2"/>
      <c r="G27" s="2" t="s">
        <v>1</v>
      </c>
      <c r="H27" s="23">
        <f>+$H$26/$F$26-1</f>
        <v>-7.4000000000000066E-2</v>
      </c>
      <c r="I27" s="2"/>
      <c r="J27" s="23">
        <f>+J26/I26-1</f>
        <v>0.69747000895999989</v>
      </c>
      <c r="K27" s="2"/>
      <c r="L27" s="2"/>
      <c r="M27" s="23">
        <f>+M26/K26-1</f>
        <v>0.69013752511999993</v>
      </c>
      <c r="N27" s="2"/>
      <c r="O27" s="26" t="s">
        <v>64</v>
      </c>
      <c r="P27" s="26">
        <f>O7</f>
        <v>9.371205300162087</v>
      </c>
      <c r="Q27" s="2"/>
    </row>
    <row r="29" spans="4:17" ht="15" customHeight="1" x14ac:dyDescent="0.25">
      <c r="E29" s="84" t="s">
        <v>51</v>
      </c>
      <c r="F29" s="72"/>
      <c r="G29" s="72"/>
      <c r="H29" s="72"/>
      <c r="I29" s="72"/>
      <c r="J29" s="72"/>
      <c r="K29" s="72"/>
      <c r="L29" s="72"/>
      <c r="M29" s="72"/>
      <c r="N29" s="72"/>
      <c r="O29" s="72"/>
      <c r="P29" s="72"/>
      <c r="Q29" s="72"/>
    </row>
    <row r="30" spans="4:17" ht="25.5" x14ac:dyDescent="0.2">
      <c r="E30" s="2"/>
      <c r="F30" s="73" t="s">
        <v>9</v>
      </c>
      <c r="G30" s="73"/>
      <c r="H30" s="73" t="s">
        <v>10</v>
      </c>
      <c r="I30" s="73"/>
      <c r="J30" s="73" t="s">
        <v>11</v>
      </c>
      <c r="K30" s="73"/>
      <c r="L30" s="2"/>
      <c r="M30" s="73" t="s">
        <v>18</v>
      </c>
      <c r="N30" s="73"/>
      <c r="O30" s="26" t="s">
        <v>55</v>
      </c>
      <c r="P30" s="19" t="s">
        <v>56</v>
      </c>
      <c r="Q30" s="19" t="s">
        <v>58</v>
      </c>
    </row>
    <row r="31" spans="4:17" ht="15" customHeight="1" x14ac:dyDescent="0.25">
      <c r="D31" s="83"/>
      <c r="E31" s="29" t="s">
        <v>12</v>
      </c>
      <c r="F31" s="30">
        <v>1.1782600000000001</v>
      </c>
      <c r="G31" s="23">
        <f>+$F$31/$F$34</f>
        <v>0.60805259681281476</v>
      </c>
      <c r="H31" s="4">
        <f>+$F$31*(1-$J$9/100)</f>
        <v>1.0922470200000001</v>
      </c>
      <c r="I31" s="23">
        <f>$H$31/$H$34</f>
        <v>0.60805259681281476</v>
      </c>
      <c r="J31" s="4">
        <f>+$H$31*(1-$K$9/100)</f>
        <v>1.0179742226399999</v>
      </c>
      <c r="K31" s="23">
        <f>+$J$31/$J$34</f>
        <v>0.60805259681281476</v>
      </c>
      <c r="L31" s="23"/>
      <c r="M31" s="4">
        <f>+$H$15*(1-$K$9/100)</f>
        <v>1.01248353104</v>
      </c>
      <c r="N31" s="23">
        <f>+M31/$J$34</f>
        <v>0.60477291721835513</v>
      </c>
      <c r="O31" s="2"/>
      <c r="P31" s="2"/>
      <c r="Q31" s="2"/>
    </row>
    <row r="32" spans="4:17" ht="15" customHeight="1" x14ac:dyDescent="0.25">
      <c r="D32" s="83"/>
      <c r="E32" s="29" t="s">
        <v>13</v>
      </c>
      <c r="F32" s="30">
        <v>0.38450000000000001</v>
      </c>
      <c r="G32" s="23">
        <f>+$F$32/$F$34</f>
        <v>0.19842498555032614</v>
      </c>
      <c r="H32" s="4">
        <f>+$F$32*(1-$J$9/100)</f>
        <v>0.35643150000000001</v>
      </c>
      <c r="I32" s="23">
        <f>$H$32/$H$34</f>
        <v>0.19842498555032614</v>
      </c>
      <c r="J32" s="4">
        <f>+$H$32*(1-$K$9/100)</f>
        <v>0.33219415800000002</v>
      </c>
      <c r="K32" s="23">
        <f>+$J$32/$J$34</f>
        <v>0.19842498555032617</v>
      </c>
      <c r="L32" s="23"/>
      <c r="M32" s="4">
        <f>+$H$16*(1-$K$9/100)</f>
        <v>0.33040238799999994</v>
      </c>
      <c r="N32" s="23">
        <f>+M32/$J$34</f>
        <v>0.19735473212233082</v>
      </c>
      <c r="O32" s="2"/>
      <c r="P32" s="2"/>
      <c r="Q32" s="2"/>
    </row>
    <row r="33" spans="4:17" ht="15" customHeight="1" x14ac:dyDescent="0.25">
      <c r="D33" s="83"/>
      <c r="E33" s="29" t="s">
        <v>14</v>
      </c>
      <c r="F33" s="30">
        <v>0.375</v>
      </c>
      <c r="G33" s="23">
        <f>+$F$33/$F$34</f>
        <v>0.19352241763685904</v>
      </c>
      <c r="H33" s="4">
        <f>+$F$33*(1-$J$9/100)</f>
        <v>0.34762500000000002</v>
      </c>
      <c r="I33" s="23">
        <f>$H$33/$H$34</f>
        <v>0.19352241763685904</v>
      </c>
      <c r="J33" s="4">
        <f>+$H$33*(1-$K$9/100)</f>
        <v>0.32398650000000001</v>
      </c>
      <c r="K33" s="23">
        <f>+$J$33/$J$34</f>
        <v>0.19352241763685907</v>
      </c>
      <c r="L33" s="23"/>
      <c r="M33" s="4">
        <f>+$H$17*(1-$K$9/100)</f>
        <v>0.322239</v>
      </c>
      <c r="N33" s="23">
        <f>+M33/$J$34</f>
        <v>0.19247860740149306</v>
      </c>
      <c r="O33" s="2"/>
      <c r="P33" s="2"/>
      <c r="Q33" s="2"/>
    </row>
    <row r="34" spans="4:17" ht="15" customHeight="1" x14ac:dyDescent="0.2">
      <c r="D34" s="83"/>
      <c r="E34" s="2" t="s">
        <v>15</v>
      </c>
      <c r="F34" s="24">
        <f>SUM(F31:F33)</f>
        <v>1.9377600000000001</v>
      </c>
      <c r="G34" s="3">
        <f>SUM(G31:G33)</f>
        <v>1</v>
      </c>
      <c r="H34" s="24">
        <f>SUM(H31:H33)</f>
        <v>1.7963035200000002</v>
      </c>
      <c r="I34" s="3">
        <f>SUM(I31:I33)</f>
        <v>1</v>
      </c>
      <c r="J34" s="24">
        <f>SUM(J31:J33)</f>
        <v>1.67415488064</v>
      </c>
      <c r="K34" s="3">
        <f>+J34/$J$34</f>
        <v>1</v>
      </c>
      <c r="L34" s="3"/>
      <c r="M34" s="24">
        <f>SUM(M31:M33)</f>
        <v>1.6651249190399999</v>
      </c>
      <c r="N34" s="3">
        <f>+M34/$J$34</f>
        <v>0.99460625674217906</v>
      </c>
      <c r="O34" s="26">
        <f>M9</f>
        <v>153.81742498074178</v>
      </c>
      <c r="P34" s="20">
        <f>N9</f>
        <v>154.34847153494744</v>
      </c>
      <c r="Q34" s="20">
        <f>O9</f>
        <v>0.15033462227394542</v>
      </c>
    </row>
    <row r="35" spans="4:17" ht="15" customHeight="1" x14ac:dyDescent="0.2">
      <c r="D35" s="83"/>
      <c r="E35" s="2" t="s">
        <v>16</v>
      </c>
      <c r="F35" s="2"/>
      <c r="G35" s="2" t="s">
        <v>1</v>
      </c>
      <c r="H35" s="23">
        <f>+$H$34/$F$34-1</f>
        <v>-7.2999999999999954E-2</v>
      </c>
      <c r="I35" s="2"/>
      <c r="J35" s="23">
        <f>+J34/I34-1</f>
        <v>0.67415488063999995</v>
      </c>
      <c r="K35" s="2"/>
      <c r="L35" s="2"/>
      <c r="M35" s="23">
        <f>+M34/K34-1</f>
        <v>0.66512491903999993</v>
      </c>
      <c r="N35" s="2"/>
      <c r="O35" s="26" t="s">
        <v>65</v>
      </c>
      <c r="P35" s="20">
        <f>O9</f>
        <v>0.15033462227394542</v>
      </c>
      <c r="Q35" s="2"/>
    </row>
    <row r="38" spans="4:17" ht="15" hidden="1" customHeight="1" x14ac:dyDescent="0.25">
      <c r="E38" s="73" t="s">
        <v>52</v>
      </c>
      <c r="F38" s="73"/>
      <c r="G38" s="73"/>
      <c r="H38" s="85" t="s">
        <v>19</v>
      </c>
      <c r="I38" s="86"/>
      <c r="J38" s="86"/>
      <c r="K38" s="86"/>
      <c r="L38" s="86"/>
      <c r="M38" s="86"/>
      <c r="N38" s="86"/>
      <c r="O38" s="86"/>
      <c r="P38" s="86"/>
      <c r="Q38" s="87"/>
    </row>
    <row r="39" spans="4:17" ht="25.5" hidden="1" x14ac:dyDescent="0.2">
      <c r="E39" s="2"/>
      <c r="F39" s="73" t="s">
        <v>9</v>
      </c>
      <c r="G39" s="73"/>
      <c r="H39" s="73" t="s">
        <v>43</v>
      </c>
      <c r="I39" s="73"/>
      <c r="J39" s="73" t="s">
        <v>44</v>
      </c>
      <c r="K39" s="73"/>
      <c r="L39" s="2"/>
      <c r="M39" s="73" t="s">
        <v>45</v>
      </c>
      <c r="N39" s="73"/>
      <c r="O39" s="19" t="s">
        <v>66</v>
      </c>
      <c r="P39" s="19" t="s">
        <v>67</v>
      </c>
      <c r="Q39" s="19" t="s">
        <v>68</v>
      </c>
    </row>
    <row r="40" spans="4:17" ht="15" hidden="1" customHeight="1" x14ac:dyDescent="0.25">
      <c r="E40" s="2" t="s">
        <v>12</v>
      </c>
      <c r="F40" s="4">
        <v>1.1782600000000001</v>
      </c>
      <c r="G40" s="23">
        <f>+F40/$F$18</f>
        <v>0.60805259681281476</v>
      </c>
      <c r="H40" s="4">
        <f>+$F$40*(1-$J$5/100)</f>
        <v>1.08635572</v>
      </c>
      <c r="I40" s="23">
        <f>$H$40/$H$18</f>
        <v>0.60805259681281476</v>
      </c>
      <c r="J40" s="4">
        <f>+$F$23*(1-$J$7/100)</f>
        <v>1.09106876</v>
      </c>
      <c r="K40" s="23">
        <f>J40/$H$26</f>
        <v>0.60805259681281476</v>
      </c>
      <c r="L40" s="23"/>
      <c r="M40" s="4">
        <f>+$F$31*(1-$J$9/100)</f>
        <v>1.0922470200000001</v>
      </c>
      <c r="N40" s="23">
        <f>$H$31/$H$34</f>
        <v>0.60805259681281476</v>
      </c>
      <c r="O40" s="2"/>
      <c r="P40" s="2"/>
      <c r="Q40" s="2"/>
    </row>
    <row r="41" spans="4:17" ht="15" hidden="1" customHeight="1" x14ac:dyDescent="0.25">
      <c r="E41" s="2" t="s">
        <v>13</v>
      </c>
      <c r="F41" s="4">
        <v>0.38450000000000001</v>
      </c>
      <c r="G41" s="23">
        <f>+F41/$F$18</f>
        <v>0.19842498555032614</v>
      </c>
      <c r="H41" s="4">
        <f>+$F$41*(1-$J$5/100)</f>
        <v>0.35450899999999996</v>
      </c>
      <c r="I41" s="23">
        <f>$H$41/$H$18</f>
        <v>0.19842498555032614</v>
      </c>
      <c r="J41" s="4">
        <f>+$F$24*(1-$J$7/100)</f>
        <v>0.356047</v>
      </c>
      <c r="K41" s="23">
        <f>J41/$H$26</f>
        <v>0.19842498555032614</v>
      </c>
      <c r="L41" s="23"/>
      <c r="M41" s="4">
        <f>+$F$32*(1-$J$9/100)</f>
        <v>0.35643150000000001</v>
      </c>
      <c r="N41" s="23">
        <f>$H$32/$H$34</f>
        <v>0.19842498555032614</v>
      </c>
      <c r="O41" s="2"/>
      <c r="P41" s="2"/>
      <c r="Q41" s="2"/>
    </row>
    <row r="42" spans="4:17" ht="15" hidden="1" customHeight="1" x14ac:dyDescent="0.25">
      <c r="E42" s="2" t="s">
        <v>14</v>
      </c>
      <c r="F42" s="4">
        <v>0.375</v>
      </c>
      <c r="G42" s="23">
        <f>+F42/$F$18</f>
        <v>0.19352241763685904</v>
      </c>
      <c r="H42" s="4">
        <f>+$F$42*(1-$J$5/100)</f>
        <v>0.34575</v>
      </c>
      <c r="I42" s="23">
        <f>$H$42/$H$18</f>
        <v>0.19352241763685907</v>
      </c>
      <c r="J42" s="4">
        <f>+$F$25*(1-$J$7/100)</f>
        <v>0.34724999999999995</v>
      </c>
      <c r="K42" s="23">
        <f>J42/$H$26</f>
        <v>0.19352241763685901</v>
      </c>
      <c r="L42" s="23"/>
      <c r="M42" s="4">
        <f>+$F$33*(1-$J$9/100)</f>
        <v>0.34762500000000002</v>
      </c>
      <c r="N42" s="23">
        <f>$H$33/$H$34</f>
        <v>0.19352241763685904</v>
      </c>
      <c r="O42" s="2"/>
      <c r="P42" s="2"/>
      <c r="Q42" s="2"/>
    </row>
    <row r="43" spans="4:17" ht="15" hidden="1" customHeight="1" x14ac:dyDescent="0.2">
      <c r="E43" s="2" t="s">
        <v>15</v>
      </c>
      <c r="F43" s="24">
        <f>SUM(F40:F42)</f>
        <v>1.9377600000000001</v>
      </c>
      <c r="G43" s="3">
        <f>SUM(G40:G42)</f>
        <v>1</v>
      </c>
      <c r="H43" s="24">
        <f>SUM($H$40:$H$42)</f>
        <v>1.78661472</v>
      </c>
      <c r="I43" s="3">
        <f>SUM($I$40:$I$42)</f>
        <v>1</v>
      </c>
      <c r="J43" s="4">
        <f>+$F$26*(1-$J$7/100)</f>
        <v>1.79436576</v>
      </c>
      <c r="K43" s="3">
        <f>SUM(K40:K42)</f>
        <v>1</v>
      </c>
      <c r="L43" s="3"/>
      <c r="M43" s="24">
        <f>SUM(M40:M42)</f>
        <v>1.7963035200000002</v>
      </c>
      <c r="N43" s="3">
        <f>SUM(N40:N42)</f>
        <v>1</v>
      </c>
      <c r="O43" s="20">
        <f>M5</f>
        <v>194.18761901931759</v>
      </c>
      <c r="P43" s="20">
        <f>M7</f>
        <v>158.38448937576115</v>
      </c>
      <c r="Q43" s="20">
        <f>M9</f>
        <v>153.81742498074178</v>
      </c>
    </row>
    <row r="44" spans="4:17" ht="15" hidden="1" customHeight="1" x14ac:dyDescent="0.25">
      <c r="E44" s="2" t="s">
        <v>16</v>
      </c>
      <c r="F44" s="2"/>
      <c r="G44" s="2" t="s">
        <v>1</v>
      </c>
      <c r="H44" s="25">
        <f>+$H$43/$F$43-1</f>
        <v>-7.8000000000000069E-2</v>
      </c>
      <c r="I44" s="2"/>
      <c r="J44" s="23">
        <f>+$H$26/$F$26-1</f>
        <v>-7.4000000000000066E-2</v>
      </c>
      <c r="K44" s="2"/>
      <c r="L44" s="2"/>
      <c r="M44" s="23">
        <f>+$H$34/$F$34-1</f>
        <v>-7.2999999999999954E-2</v>
      </c>
      <c r="N44" s="2"/>
      <c r="O44" s="2"/>
      <c r="P44" s="2"/>
      <c r="Q44" s="2"/>
    </row>
  </sheetData>
  <mergeCells count="50">
    <mergeCell ref="L5:L6"/>
    <mergeCell ref="J5:J6"/>
    <mergeCell ref="J7:J8"/>
    <mergeCell ref="J9:J10"/>
    <mergeCell ref="K5:K6"/>
    <mergeCell ref="K7:K8"/>
    <mergeCell ref="K9:K10"/>
    <mergeCell ref="L7:L8"/>
    <mergeCell ref="L9:L10"/>
    <mergeCell ref="E12:O12"/>
    <mergeCell ref="J13:O13"/>
    <mergeCell ref="E13:I13"/>
    <mergeCell ref="F14:G14"/>
    <mergeCell ref="E29:Q29"/>
    <mergeCell ref="M39:N39"/>
    <mergeCell ref="E38:G38"/>
    <mergeCell ref="H14:I14"/>
    <mergeCell ref="J14:K14"/>
    <mergeCell ref="F39:G39"/>
    <mergeCell ref="H39:I39"/>
    <mergeCell ref="J39:K39"/>
    <mergeCell ref="H38:Q38"/>
    <mergeCell ref="D15:D19"/>
    <mergeCell ref="F30:G30"/>
    <mergeCell ref="H30:I30"/>
    <mergeCell ref="J30:K30"/>
    <mergeCell ref="M22:N22"/>
    <mergeCell ref="M30:N30"/>
    <mergeCell ref="E21:Q21"/>
    <mergeCell ref="D31:D35"/>
    <mergeCell ref="F22:G22"/>
    <mergeCell ref="H22:I22"/>
    <mergeCell ref="J22:K22"/>
    <mergeCell ref="D23:D27"/>
    <mergeCell ref="E2:I2"/>
    <mergeCell ref="F9:F10"/>
    <mergeCell ref="G9:G10"/>
    <mergeCell ref="H9:H10"/>
    <mergeCell ref="I5:I6"/>
    <mergeCell ref="I7:I8"/>
    <mergeCell ref="I9:I10"/>
    <mergeCell ref="F5:F6"/>
    <mergeCell ref="G5:G6"/>
    <mergeCell ref="H5:H6"/>
    <mergeCell ref="F7:F8"/>
    <mergeCell ref="G7:G8"/>
    <mergeCell ref="H7:H8"/>
    <mergeCell ref="E5:E6"/>
    <mergeCell ref="E7:E8"/>
    <mergeCell ref="E9:E10"/>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C34CDB-FFF5-48FC-A9B2-C8F59D567DCF}">
  <dimension ref="B2:L12"/>
  <sheetViews>
    <sheetView workbookViewId="0">
      <selection activeCell="P7" sqref="P7"/>
    </sheetView>
  </sheetViews>
  <sheetFormatPr defaultRowHeight="15" x14ac:dyDescent="0.25"/>
  <cols>
    <col min="6" max="6" width="9.5703125" bestFit="1" customWidth="1"/>
    <col min="8" max="8" width="8.28515625" customWidth="1"/>
  </cols>
  <sheetData>
    <row r="2" spans="2:12" x14ac:dyDescent="0.25">
      <c r="B2" s="31" t="s">
        <v>21</v>
      </c>
      <c r="C2" s="32">
        <v>1.8</v>
      </c>
      <c r="E2" s="31" t="s">
        <v>20</v>
      </c>
      <c r="F2" s="32">
        <v>1.2</v>
      </c>
      <c r="G2" s="6"/>
      <c r="H2" s="31" t="s">
        <v>21</v>
      </c>
      <c r="I2" s="32">
        <v>0.6</v>
      </c>
      <c r="J2" s="6"/>
      <c r="K2" s="31" t="s">
        <v>21</v>
      </c>
      <c r="L2" s="32"/>
    </row>
    <row r="3" spans="2:12" x14ac:dyDescent="0.25">
      <c r="B3" s="7" t="s">
        <v>22</v>
      </c>
      <c r="C3" s="8">
        <f>SQRT(($C$2^2)/3)</f>
        <v>1.0392304845413265</v>
      </c>
      <c r="E3" s="7" t="s">
        <v>22</v>
      </c>
      <c r="F3" s="8">
        <f>SQRT(($F$2^2)/3)</f>
        <v>0.69282032302755092</v>
      </c>
      <c r="H3" s="7" t="s">
        <v>22</v>
      </c>
      <c r="I3" s="8">
        <f>SQRT(($I$2^2)/3)</f>
        <v>0.34641016151377546</v>
      </c>
      <c r="K3" s="7" t="s">
        <v>22</v>
      </c>
      <c r="L3" s="8">
        <f>SQRT(($L$2^2)/3)</f>
        <v>0</v>
      </c>
    </row>
    <row r="4" spans="2:12" x14ac:dyDescent="0.25">
      <c r="B4" s="7" t="s">
        <v>23</v>
      </c>
      <c r="C4" s="8">
        <f t="shared" ref="C4:C5" si="0">SQRT(($C$2^2)/3)</f>
        <v>1.0392304845413265</v>
      </c>
      <c r="E4" s="7" t="s">
        <v>23</v>
      </c>
      <c r="F4" s="8">
        <f t="shared" ref="F4:F5" si="1">SQRT(($F$2^2)/3)</f>
        <v>0.69282032302755092</v>
      </c>
      <c r="H4" s="7" t="s">
        <v>23</v>
      </c>
      <c r="I4" s="8">
        <f t="shared" ref="I4:I5" si="2">SQRT(($I$2^2)/3)</f>
        <v>0.34641016151377546</v>
      </c>
      <c r="K4" s="7" t="s">
        <v>23</v>
      </c>
      <c r="L4" s="8">
        <f t="shared" ref="L4:L5" si="3">SQRT(($L$2^2)/3)</f>
        <v>0</v>
      </c>
    </row>
    <row r="5" spans="2:12" x14ac:dyDescent="0.25">
      <c r="B5" s="7" t="s">
        <v>24</v>
      </c>
      <c r="C5" s="8">
        <f t="shared" si="0"/>
        <v>1.0392304845413265</v>
      </c>
      <c r="E5" s="7" t="s">
        <v>24</v>
      </c>
      <c r="F5" s="8">
        <f t="shared" si="1"/>
        <v>0.69282032302755092</v>
      </c>
      <c r="H5" s="7" t="s">
        <v>24</v>
      </c>
      <c r="I5" s="8">
        <f t="shared" si="2"/>
        <v>0.34641016151377546</v>
      </c>
      <c r="K5" s="7" t="s">
        <v>24</v>
      </c>
      <c r="L5" s="8">
        <f t="shared" si="3"/>
        <v>0</v>
      </c>
    </row>
    <row r="12" spans="2:12" ht="16.5" x14ac:dyDescent="0.25">
      <c r="H12" s="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D7E673-853E-4343-94E1-725EDA103DB7}">
  <dimension ref="B2:N44"/>
  <sheetViews>
    <sheetView topLeftCell="C1" workbookViewId="0">
      <selection activeCell="N22" sqref="N22"/>
    </sheetView>
  </sheetViews>
  <sheetFormatPr defaultRowHeight="15" x14ac:dyDescent="0.25"/>
  <cols>
    <col min="2" max="2" width="20.42578125" customWidth="1"/>
    <col min="3" max="3" width="11.5703125" customWidth="1"/>
    <col min="6" max="6" width="13.85546875" customWidth="1"/>
    <col min="7" max="7" width="9.5703125" bestFit="1" customWidth="1"/>
    <col min="8" max="8" width="18" customWidth="1"/>
    <col min="9" max="9" width="29" customWidth="1"/>
    <col min="10" max="10" width="36" customWidth="1"/>
    <col min="12" max="13" width="9.140625" customWidth="1"/>
    <col min="14" max="14" width="189.7109375" customWidth="1"/>
  </cols>
  <sheetData>
    <row r="2" spans="2:10" x14ac:dyDescent="0.25">
      <c r="H2" s="94" t="s">
        <v>71</v>
      </c>
      <c r="I2" s="94"/>
    </row>
    <row r="3" spans="2:10" x14ac:dyDescent="0.25">
      <c r="H3" s="94"/>
      <c r="I3" s="94"/>
    </row>
    <row r="4" spans="2:10" ht="27.75" customHeight="1" x14ac:dyDescent="0.25">
      <c r="B4" s="95" t="s">
        <v>72</v>
      </c>
      <c r="C4" s="95"/>
      <c r="D4" s="95"/>
      <c r="E4" s="7"/>
      <c r="H4" s="94"/>
      <c r="I4" s="94"/>
    </row>
    <row r="5" spans="2:10" ht="22.5" customHeight="1" x14ac:dyDescent="0.25">
      <c r="B5" s="34" t="s">
        <v>73</v>
      </c>
      <c r="C5" s="35" t="s">
        <v>74</v>
      </c>
      <c r="D5" s="36" t="s">
        <v>75</v>
      </c>
      <c r="E5" s="7"/>
      <c r="H5" s="94"/>
      <c r="I5" s="94"/>
    </row>
    <row r="6" spans="2:10" x14ac:dyDescent="0.25">
      <c r="B6" s="37" t="s">
        <v>76</v>
      </c>
      <c r="C6" s="38">
        <v>0.8</v>
      </c>
      <c r="D6" s="8">
        <f>1+(C6/100)</f>
        <v>1.008</v>
      </c>
      <c r="E6" s="7"/>
      <c r="H6" s="94"/>
      <c r="I6" s="94"/>
    </row>
    <row r="7" spans="2:10" x14ac:dyDescent="0.25">
      <c r="B7" s="39" t="s">
        <v>77</v>
      </c>
      <c r="C7" s="38">
        <v>-1.18</v>
      </c>
      <c r="D7" s="7">
        <f>1+(C7/100)</f>
        <v>0.98819999999999997</v>
      </c>
      <c r="E7" s="7"/>
    </row>
    <row r="8" spans="2:10" x14ac:dyDescent="0.25">
      <c r="H8" s="94" t="s">
        <v>78</v>
      </c>
      <c r="I8" s="94"/>
    </row>
    <row r="9" spans="2:10" x14ac:dyDescent="0.25">
      <c r="H9" s="94"/>
      <c r="I9" s="94"/>
    </row>
    <row r="10" spans="2:10" ht="30" x14ac:dyDescent="0.25">
      <c r="B10" s="36" t="s">
        <v>79</v>
      </c>
      <c r="C10" s="40" t="s">
        <v>80</v>
      </c>
      <c r="D10" s="41" t="s">
        <v>81</v>
      </c>
      <c r="E10" s="41" t="s">
        <v>82</v>
      </c>
      <c r="F10" s="41" t="s">
        <v>83</v>
      </c>
      <c r="H10" s="94"/>
      <c r="I10" s="94"/>
    </row>
    <row r="11" spans="2:10" x14ac:dyDescent="0.25">
      <c r="B11" s="37" t="s">
        <v>84</v>
      </c>
      <c r="C11" s="7">
        <v>1.1782600000000001</v>
      </c>
      <c r="D11" s="7">
        <f>$D$6</f>
        <v>1.008</v>
      </c>
      <c r="E11" s="7" t="s">
        <v>85</v>
      </c>
      <c r="F11" s="42">
        <f>C11*D11</f>
        <v>1.1876860800000002</v>
      </c>
      <c r="H11" s="94"/>
      <c r="I11" s="94"/>
    </row>
    <row r="12" spans="2:10" x14ac:dyDescent="0.25">
      <c r="B12" s="37" t="s">
        <v>86</v>
      </c>
      <c r="C12" s="42">
        <v>0.38450000000000001</v>
      </c>
      <c r="D12" s="7">
        <f t="shared" ref="D12:D13" si="0">$D$6</f>
        <v>1.008</v>
      </c>
      <c r="E12" s="7">
        <f>$D$7</f>
        <v>0.98819999999999997</v>
      </c>
      <c r="F12" s="42">
        <f>((C12*D12)*E12)</f>
        <v>0.38300260320000001</v>
      </c>
      <c r="G12" s="43"/>
      <c r="H12" s="94"/>
      <c r="I12" s="94"/>
    </row>
    <row r="13" spans="2:10" ht="30" x14ac:dyDescent="0.25">
      <c r="B13" s="44" t="s">
        <v>87</v>
      </c>
      <c r="C13" s="42">
        <v>0.375</v>
      </c>
      <c r="D13" s="7">
        <f t="shared" si="0"/>
        <v>1.008</v>
      </c>
      <c r="E13" s="7" t="s">
        <v>85</v>
      </c>
      <c r="F13" s="42">
        <f>C13*D13</f>
        <v>0.378</v>
      </c>
    </row>
    <row r="14" spans="2:10" x14ac:dyDescent="0.25">
      <c r="H14" s="47" t="s">
        <v>88</v>
      </c>
      <c r="I14" s="47" t="s">
        <v>89</v>
      </c>
      <c r="J14" s="48" t="s">
        <v>90</v>
      </c>
    </row>
    <row r="15" spans="2:10" ht="42.75" x14ac:dyDescent="0.25">
      <c r="B15" s="96"/>
      <c r="C15" s="96"/>
      <c r="H15" s="45" t="s">
        <v>91</v>
      </c>
      <c r="I15" s="45" t="s">
        <v>97</v>
      </c>
      <c r="J15" s="46" t="s">
        <v>92</v>
      </c>
    </row>
    <row r="16" spans="2:10" ht="42.75" x14ac:dyDescent="0.25">
      <c r="B16" s="6"/>
      <c r="C16" s="49"/>
      <c r="H16" s="45" t="s">
        <v>93</v>
      </c>
      <c r="I16" s="45" t="s">
        <v>99</v>
      </c>
      <c r="J16" s="45" t="s">
        <v>94</v>
      </c>
    </row>
    <row r="17" spans="2:14" ht="57" x14ac:dyDescent="0.25">
      <c r="B17" s="50"/>
      <c r="C17" s="51"/>
      <c r="H17" s="45" t="s">
        <v>95</v>
      </c>
      <c r="I17" s="45" t="s">
        <v>98</v>
      </c>
      <c r="J17" s="46" t="s">
        <v>96</v>
      </c>
    </row>
    <row r="18" spans="2:14" x14ac:dyDescent="0.25">
      <c r="B18" s="50"/>
      <c r="C18" s="51"/>
    </row>
    <row r="19" spans="2:14" x14ac:dyDescent="0.25">
      <c r="B19" s="52"/>
      <c r="C19" s="51"/>
    </row>
    <row r="21" spans="2:14" x14ac:dyDescent="0.25">
      <c r="H21" s="96" t="s">
        <v>137</v>
      </c>
      <c r="I21" s="96"/>
    </row>
    <row r="22" spans="2:14" ht="306" customHeight="1" x14ac:dyDescent="0.25">
      <c r="H22" s="97" t="s">
        <v>136</v>
      </c>
      <c r="I22" s="97"/>
      <c r="J22" s="97"/>
      <c r="K22" s="67"/>
    </row>
    <row r="23" spans="2:14" x14ac:dyDescent="0.25">
      <c r="H23" s="67"/>
      <c r="I23" s="67"/>
      <c r="J23" s="67"/>
      <c r="K23" s="67"/>
    </row>
    <row r="24" spans="2:14" x14ac:dyDescent="0.25">
      <c r="H24" s="67"/>
      <c r="I24" s="67"/>
      <c r="J24" s="67"/>
      <c r="K24" s="67"/>
    </row>
    <row r="25" spans="2:14" ht="17.25" customHeight="1" x14ac:dyDescent="0.25">
      <c r="H25" s="92" t="s">
        <v>138</v>
      </c>
      <c r="I25" s="93"/>
      <c r="J25" s="93"/>
      <c r="K25" s="93"/>
      <c r="L25" s="93"/>
      <c r="M25" s="93"/>
      <c r="N25" s="93"/>
    </row>
    <row r="26" spans="2:14" ht="17.25" customHeight="1" x14ac:dyDescent="0.25">
      <c r="H26" s="93"/>
      <c r="I26" s="93"/>
      <c r="J26" s="93"/>
      <c r="K26" s="93"/>
      <c r="L26" s="93"/>
      <c r="M26" s="93"/>
      <c r="N26" s="93"/>
    </row>
    <row r="27" spans="2:14" ht="17.25" customHeight="1" x14ac:dyDescent="0.25">
      <c r="H27" s="93"/>
      <c r="I27" s="93"/>
      <c r="J27" s="93"/>
      <c r="K27" s="93"/>
      <c r="L27" s="93"/>
      <c r="M27" s="93"/>
      <c r="N27" s="93"/>
    </row>
    <row r="28" spans="2:14" ht="17.25" customHeight="1" x14ac:dyDescent="0.25">
      <c r="H28" s="93"/>
      <c r="I28" s="93"/>
      <c r="J28" s="93"/>
      <c r="K28" s="93"/>
      <c r="L28" s="93"/>
      <c r="M28" s="93"/>
      <c r="N28" s="93"/>
    </row>
    <row r="29" spans="2:14" ht="17.25" customHeight="1" x14ac:dyDescent="0.25">
      <c r="H29" s="93"/>
      <c r="I29" s="93"/>
      <c r="J29" s="93"/>
      <c r="K29" s="93"/>
      <c r="L29" s="93"/>
      <c r="M29" s="93"/>
      <c r="N29" s="93"/>
    </row>
    <row r="30" spans="2:14" ht="17.25" customHeight="1" x14ac:dyDescent="0.25">
      <c r="H30" s="93"/>
      <c r="I30" s="93"/>
      <c r="J30" s="93"/>
      <c r="K30" s="93"/>
      <c r="L30" s="93"/>
      <c r="M30" s="93"/>
      <c r="N30" s="93"/>
    </row>
    <row r="31" spans="2:14" ht="17.25" customHeight="1" x14ac:dyDescent="0.25">
      <c r="H31" s="93"/>
      <c r="I31" s="93"/>
      <c r="J31" s="93"/>
      <c r="K31" s="93"/>
      <c r="L31" s="93"/>
      <c r="M31" s="93"/>
      <c r="N31" s="93"/>
    </row>
    <row r="32" spans="2:14" ht="17.25" customHeight="1" x14ac:dyDescent="0.25">
      <c r="H32" s="93"/>
      <c r="I32" s="93"/>
      <c r="J32" s="93"/>
      <c r="K32" s="93"/>
      <c r="L32" s="93"/>
      <c r="M32" s="93"/>
      <c r="N32" s="93"/>
    </row>
    <row r="33" spans="8:14" ht="17.25" customHeight="1" x14ac:dyDescent="0.25">
      <c r="H33" s="93"/>
      <c r="I33" s="93"/>
      <c r="J33" s="93"/>
      <c r="K33" s="93"/>
      <c r="L33" s="93"/>
      <c r="M33" s="93"/>
      <c r="N33" s="93"/>
    </row>
    <row r="34" spans="8:14" ht="17.25" customHeight="1" x14ac:dyDescent="0.25">
      <c r="H34" s="93"/>
      <c r="I34" s="93"/>
      <c r="J34" s="93"/>
      <c r="K34" s="93"/>
      <c r="L34" s="93"/>
      <c r="M34" s="93"/>
      <c r="N34" s="93"/>
    </row>
    <row r="35" spans="8:14" ht="17.25" customHeight="1" x14ac:dyDescent="0.25">
      <c r="H35" s="93"/>
      <c r="I35" s="93"/>
      <c r="J35" s="93"/>
      <c r="K35" s="93"/>
      <c r="L35" s="93"/>
      <c r="M35" s="93"/>
      <c r="N35" s="93"/>
    </row>
    <row r="36" spans="8:14" ht="17.25" customHeight="1" x14ac:dyDescent="0.25">
      <c r="H36" s="93"/>
      <c r="I36" s="93"/>
      <c r="J36" s="93"/>
      <c r="K36" s="93"/>
      <c r="L36" s="93"/>
      <c r="M36" s="93"/>
      <c r="N36" s="93"/>
    </row>
    <row r="37" spans="8:14" ht="17.25" customHeight="1" x14ac:dyDescent="0.25">
      <c r="H37" s="93"/>
      <c r="I37" s="93"/>
      <c r="J37" s="93"/>
      <c r="K37" s="93"/>
      <c r="L37" s="93"/>
      <c r="M37" s="93"/>
      <c r="N37" s="93"/>
    </row>
    <row r="38" spans="8:14" ht="17.25" customHeight="1" x14ac:dyDescent="0.25">
      <c r="H38" s="93"/>
      <c r="I38" s="93"/>
      <c r="J38" s="93"/>
      <c r="K38" s="93"/>
      <c r="L38" s="93"/>
      <c r="M38" s="93"/>
      <c r="N38" s="93"/>
    </row>
    <row r="39" spans="8:14" ht="17.25" customHeight="1" x14ac:dyDescent="0.25">
      <c r="H39" s="93"/>
      <c r="I39" s="93"/>
      <c r="J39" s="93"/>
      <c r="K39" s="93"/>
      <c r="L39" s="93"/>
      <c r="M39" s="93"/>
      <c r="N39" s="93"/>
    </row>
    <row r="40" spans="8:14" ht="17.25" customHeight="1" x14ac:dyDescent="0.25">
      <c r="H40" s="93"/>
      <c r="I40" s="93"/>
      <c r="J40" s="93"/>
      <c r="K40" s="93"/>
      <c r="L40" s="93"/>
      <c r="M40" s="93"/>
      <c r="N40" s="93"/>
    </row>
    <row r="41" spans="8:14" ht="17.25" customHeight="1" x14ac:dyDescent="0.25">
      <c r="H41" s="93"/>
      <c r="I41" s="93"/>
      <c r="J41" s="93"/>
      <c r="K41" s="93"/>
      <c r="L41" s="93"/>
      <c r="M41" s="93"/>
      <c r="N41" s="93"/>
    </row>
    <row r="42" spans="8:14" ht="17.25" customHeight="1" x14ac:dyDescent="0.25">
      <c r="H42" s="93"/>
      <c r="I42" s="93"/>
      <c r="J42" s="93"/>
      <c r="K42" s="93"/>
      <c r="L42" s="93"/>
      <c r="M42" s="93"/>
      <c r="N42" s="93"/>
    </row>
    <row r="43" spans="8:14" ht="17.25" customHeight="1" x14ac:dyDescent="0.25">
      <c r="H43" s="93"/>
      <c r="I43" s="93"/>
      <c r="J43" s="93"/>
      <c r="K43" s="93"/>
      <c r="L43" s="93"/>
      <c r="M43" s="93"/>
      <c r="N43" s="93"/>
    </row>
    <row r="44" spans="8:14" ht="17.25" customHeight="1" x14ac:dyDescent="0.25">
      <c r="H44" s="93"/>
      <c r="I44" s="93"/>
      <c r="J44" s="93"/>
      <c r="K44" s="93"/>
      <c r="L44" s="93"/>
      <c r="M44" s="93"/>
      <c r="N44" s="93"/>
    </row>
  </sheetData>
  <mergeCells count="7">
    <mergeCell ref="H25:N44"/>
    <mergeCell ref="H2:I6"/>
    <mergeCell ref="B4:D4"/>
    <mergeCell ref="H8:I12"/>
    <mergeCell ref="B15:C15"/>
    <mergeCell ref="H22:J22"/>
    <mergeCell ref="H21:I21"/>
  </mergeCells>
  <pageMargins left="0.7" right="0.7" top="0.75" bottom="0.75" header="0.3" footer="0.3"/>
  <ignoredErrors>
    <ignoredError sqref="F12" formula="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CALCULO SAMPLE COMPARISON </vt:lpstr>
      <vt:lpstr>CALCULO SHADE HISTORY REPORT</vt:lpstr>
      <vt:lpstr>TOLERANCIA</vt:lpstr>
      <vt:lpstr>CALCULO NUEVA RECETA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Elkin Duvan Quebrada Guapacha</dc:creator>
  <cp:keywords/>
  <dc:description/>
  <cp:lastModifiedBy>Elkin Duvan Quebrada Guapacha</cp:lastModifiedBy>
  <cp:revision/>
  <dcterms:created xsi:type="dcterms:W3CDTF">2026-02-26T20:54:09Z</dcterms:created>
  <dcterms:modified xsi:type="dcterms:W3CDTF">2026-05-13T17:40:09Z</dcterms:modified>
  <cp:category/>
  <cp:contentStatus/>
</cp:coreProperties>
</file>